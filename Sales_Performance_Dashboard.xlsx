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KESARA\Desktop\"/>
    </mc:Choice>
  </mc:AlternateContent>
  <xr:revisionPtr revIDLastSave="0" documentId="13_ncr:1_{8AECF998-5119-4CAA-81DF-8BB7BDAA1DA6}" xr6:coauthVersionLast="47" xr6:coauthVersionMax="47" xr10:uidLastSave="{00000000-0000-0000-0000-000000000000}"/>
  <bookViews>
    <workbookView xWindow="-108" yWindow="-108" windowWidth="23256" windowHeight="12456" xr2:uid="{00000000-000D-0000-FFFF-FFFF00000000}"/>
  </bookViews>
  <sheets>
    <sheet name="Dashboard" sheetId="5" r:id="rId1"/>
    <sheet name="Pivot Table" sheetId="4" r:id="rId2"/>
    <sheet name="Orders Data" sheetId="1" r:id="rId3"/>
    <sheet name="Products Master" sheetId="2" r:id="rId4"/>
    <sheet name="Sales Rep Data" sheetId="3" r:id="rId5"/>
  </sheets>
  <definedNames>
    <definedName name="_xlnm.Print_Area" localSheetId="0">Dashboard!$A$1:$W$58</definedName>
    <definedName name="Slicer_Category">#N/A</definedName>
    <definedName name="Slicer_Product">#N/A</definedName>
    <definedName name="Slicer_Region">#N/A</definedName>
    <definedName name="Slicer_Sales_Rep">#N/A</definedName>
  </definedNames>
  <calcPr calcId="191029"/>
  <pivotCaches>
    <pivotCache cacheId="23"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 l="1"/>
  <c r="J3" i="1"/>
  <c r="M3" i="1" s="1"/>
  <c r="K3" i="1"/>
  <c r="L3" i="1"/>
  <c r="I4" i="1"/>
  <c r="J4" i="1"/>
  <c r="K4" i="1"/>
  <c r="L4" i="1"/>
  <c r="M4" i="1"/>
  <c r="N4" i="1" s="1"/>
  <c r="O4" i="1" s="1"/>
  <c r="I5" i="1"/>
  <c r="J5" i="1"/>
  <c r="M5" i="1" s="1"/>
  <c r="N5" i="1" s="1"/>
  <c r="O5" i="1" s="1"/>
  <c r="K5" i="1"/>
  <c r="L5" i="1"/>
  <c r="I6" i="1"/>
  <c r="J6" i="1"/>
  <c r="M6" i="1" s="1"/>
  <c r="N6" i="1" s="1"/>
  <c r="O6" i="1" s="1"/>
  <c r="K6" i="1"/>
  <c r="L6" i="1"/>
  <c r="I7" i="1"/>
  <c r="J7" i="1"/>
  <c r="K7" i="1"/>
  <c r="L7" i="1"/>
  <c r="M7" i="1"/>
  <c r="N7" i="1"/>
  <c r="O7" i="1" s="1"/>
  <c r="I8" i="1"/>
  <c r="J8" i="1"/>
  <c r="M8" i="1" s="1"/>
  <c r="K8" i="1"/>
  <c r="L8" i="1"/>
  <c r="N8" i="1" s="1"/>
  <c r="O8" i="1" s="1"/>
  <c r="I9" i="1"/>
  <c r="J9" i="1"/>
  <c r="M9" i="1" s="1"/>
  <c r="N9" i="1" s="1"/>
  <c r="O9" i="1" s="1"/>
  <c r="K9" i="1"/>
  <c r="L9" i="1"/>
  <c r="I10" i="1"/>
  <c r="J10" i="1"/>
  <c r="M10" i="1" s="1"/>
  <c r="N10" i="1" s="1"/>
  <c r="O10" i="1" s="1"/>
  <c r="K10" i="1"/>
  <c r="L10" i="1"/>
  <c r="I11" i="1"/>
  <c r="J11" i="1"/>
  <c r="M11" i="1" s="1"/>
  <c r="K11" i="1"/>
  <c r="L11" i="1"/>
  <c r="N11" i="1" s="1"/>
  <c r="O11" i="1" s="1"/>
  <c r="I12" i="1"/>
  <c r="J12" i="1"/>
  <c r="M12" i="1" s="1"/>
  <c r="K12" i="1"/>
  <c r="L12" i="1"/>
  <c r="N12" i="1" s="1"/>
  <c r="O12" i="1" s="1"/>
  <c r="I13" i="1"/>
  <c r="J13" i="1"/>
  <c r="M13" i="1" s="1"/>
  <c r="N13" i="1" s="1"/>
  <c r="O13" i="1" s="1"/>
  <c r="K13" i="1"/>
  <c r="L13" i="1"/>
  <c r="I14" i="1"/>
  <c r="J14" i="1"/>
  <c r="K14" i="1"/>
  <c r="L14" i="1"/>
  <c r="M14" i="1"/>
  <c r="N14" i="1" s="1"/>
  <c r="O14" i="1" s="1"/>
  <c r="I15" i="1"/>
  <c r="J15" i="1"/>
  <c r="M15" i="1" s="1"/>
  <c r="K15" i="1"/>
  <c r="L15" i="1"/>
  <c r="N15" i="1" s="1"/>
  <c r="O15" i="1" s="1"/>
  <c r="I16" i="1"/>
  <c r="J16" i="1"/>
  <c r="K16" i="1"/>
  <c r="L16" i="1"/>
  <c r="M16" i="1"/>
  <c r="N16" i="1" s="1"/>
  <c r="O16" i="1" s="1"/>
  <c r="I17" i="1"/>
  <c r="J17" i="1"/>
  <c r="M17" i="1" s="1"/>
  <c r="N17" i="1" s="1"/>
  <c r="O17" i="1" s="1"/>
  <c r="K17" i="1"/>
  <c r="L17" i="1"/>
  <c r="I18" i="1"/>
  <c r="J18" i="1"/>
  <c r="K18" i="1"/>
  <c r="L18" i="1"/>
  <c r="M18" i="1"/>
  <c r="N18" i="1"/>
  <c r="O18" i="1"/>
  <c r="I19" i="1"/>
  <c r="J19" i="1"/>
  <c r="M19" i="1" s="1"/>
  <c r="N19" i="1" s="1"/>
  <c r="O19" i="1" s="1"/>
  <c r="K19" i="1"/>
  <c r="L19" i="1"/>
  <c r="I20" i="1"/>
  <c r="J20" i="1"/>
  <c r="K20" i="1"/>
  <c r="L20" i="1"/>
  <c r="M20" i="1"/>
  <c r="N20" i="1" s="1"/>
  <c r="O20" i="1" s="1"/>
  <c r="I21" i="1"/>
  <c r="J21" i="1"/>
  <c r="M21" i="1" s="1"/>
  <c r="K21" i="1"/>
  <c r="L21" i="1"/>
  <c r="N21" i="1"/>
  <c r="O21" i="1" s="1"/>
  <c r="I22" i="1"/>
  <c r="J22" i="1"/>
  <c r="M22" i="1" s="1"/>
  <c r="N22" i="1" s="1"/>
  <c r="O22" i="1" s="1"/>
  <c r="K22" i="1"/>
  <c r="L22" i="1"/>
  <c r="I23" i="1"/>
  <c r="J23" i="1"/>
  <c r="M23" i="1" s="1"/>
  <c r="K23" i="1"/>
  <c r="L23" i="1"/>
  <c r="I24" i="1"/>
  <c r="J24" i="1"/>
  <c r="M24" i="1" s="1"/>
  <c r="N24" i="1" s="1"/>
  <c r="O24" i="1" s="1"/>
  <c r="K24" i="1"/>
  <c r="L24" i="1"/>
  <c r="I25" i="1"/>
  <c r="J25" i="1"/>
  <c r="M25" i="1" s="1"/>
  <c r="N25" i="1" s="1"/>
  <c r="O25" i="1" s="1"/>
  <c r="K25" i="1"/>
  <c r="L25" i="1"/>
  <c r="I26" i="1"/>
  <c r="J26" i="1"/>
  <c r="K26" i="1"/>
  <c r="L26" i="1"/>
  <c r="M26" i="1"/>
  <c r="N26" i="1" s="1"/>
  <c r="O26" i="1"/>
  <c r="I27" i="1"/>
  <c r="J27" i="1"/>
  <c r="M27" i="1" s="1"/>
  <c r="K27" i="1"/>
  <c r="L27" i="1"/>
  <c r="I28" i="1"/>
  <c r="J28" i="1"/>
  <c r="K28" i="1"/>
  <c r="L28" i="1"/>
  <c r="M28" i="1"/>
  <c r="N28" i="1" s="1"/>
  <c r="O28" i="1" s="1"/>
  <c r="I29" i="1"/>
  <c r="J29" i="1"/>
  <c r="M29" i="1" s="1"/>
  <c r="N29" i="1" s="1"/>
  <c r="O29" i="1" s="1"/>
  <c r="K29" i="1"/>
  <c r="L29" i="1"/>
  <c r="I30" i="1"/>
  <c r="J30" i="1"/>
  <c r="M30" i="1" s="1"/>
  <c r="K30" i="1"/>
  <c r="L30" i="1"/>
  <c r="I31" i="1"/>
  <c r="J31" i="1"/>
  <c r="M31" i="1" s="1"/>
  <c r="N31" i="1" s="1"/>
  <c r="O31" i="1" s="1"/>
  <c r="K31" i="1"/>
  <c r="L31" i="1"/>
  <c r="I32" i="1"/>
  <c r="J32" i="1"/>
  <c r="K32" i="1"/>
  <c r="L32" i="1"/>
  <c r="N32" i="1" s="1"/>
  <c r="O32" i="1" s="1"/>
  <c r="M32" i="1"/>
  <c r="I33" i="1"/>
  <c r="J33" i="1"/>
  <c r="M33" i="1" s="1"/>
  <c r="K33" i="1"/>
  <c r="L33" i="1"/>
  <c r="N33" i="1"/>
  <c r="O33" i="1" s="1"/>
  <c r="I34" i="1"/>
  <c r="J34" i="1"/>
  <c r="M34" i="1" s="1"/>
  <c r="N34" i="1" s="1"/>
  <c r="O34" i="1" s="1"/>
  <c r="K34" i="1"/>
  <c r="L34" i="1"/>
  <c r="I35" i="1"/>
  <c r="J35" i="1"/>
  <c r="M35" i="1" s="1"/>
  <c r="K35" i="1"/>
  <c r="L35" i="1"/>
  <c r="I36" i="1"/>
  <c r="J36" i="1"/>
  <c r="K36" i="1"/>
  <c r="L36" i="1"/>
  <c r="M36" i="1"/>
  <c r="N36" i="1" s="1"/>
  <c r="O36" i="1" s="1"/>
  <c r="I37" i="1"/>
  <c r="J37" i="1"/>
  <c r="M37" i="1" s="1"/>
  <c r="N37" i="1" s="1"/>
  <c r="O37" i="1" s="1"/>
  <c r="K37" i="1"/>
  <c r="L37" i="1"/>
  <c r="I38" i="1"/>
  <c r="J38" i="1"/>
  <c r="K38" i="1"/>
  <c r="L38" i="1"/>
  <c r="M38" i="1"/>
  <c r="N38" i="1" s="1"/>
  <c r="O38" i="1" s="1"/>
  <c r="I39" i="1"/>
  <c r="J39" i="1"/>
  <c r="M39" i="1" s="1"/>
  <c r="K39" i="1"/>
  <c r="L39" i="1"/>
  <c r="I40" i="1"/>
  <c r="J40" i="1"/>
  <c r="K40" i="1"/>
  <c r="L40" i="1"/>
  <c r="M40" i="1"/>
  <c r="N40" i="1" s="1"/>
  <c r="O40" i="1" s="1"/>
  <c r="I41" i="1"/>
  <c r="J41" i="1"/>
  <c r="M41" i="1" s="1"/>
  <c r="N41" i="1" s="1"/>
  <c r="O41" i="1" s="1"/>
  <c r="K41" i="1"/>
  <c r="L41" i="1"/>
  <c r="I42" i="1"/>
  <c r="J42" i="1"/>
  <c r="M42" i="1" s="1"/>
  <c r="N42" i="1" s="1"/>
  <c r="O42" i="1" s="1"/>
  <c r="K42" i="1"/>
  <c r="L42" i="1"/>
  <c r="I43" i="1"/>
  <c r="J43" i="1"/>
  <c r="M43" i="1" s="1"/>
  <c r="N43" i="1" s="1"/>
  <c r="O43" i="1" s="1"/>
  <c r="K43" i="1"/>
  <c r="L43" i="1"/>
  <c r="I44" i="1"/>
  <c r="J44" i="1"/>
  <c r="K44" i="1"/>
  <c r="L44" i="1"/>
  <c r="M44" i="1"/>
  <c r="N44" i="1" s="1"/>
  <c r="O44" i="1" s="1"/>
  <c r="I45" i="1"/>
  <c r="J45" i="1"/>
  <c r="M45" i="1" s="1"/>
  <c r="K45" i="1"/>
  <c r="L45" i="1"/>
  <c r="N45" i="1"/>
  <c r="O45" i="1" s="1"/>
  <c r="I46" i="1"/>
  <c r="J46" i="1"/>
  <c r="M46" i="1" s="1"/>
  <c r="N46" i="1" s="1"/>
  <c r="O46" i="1" s="1"/>
  <c r="K46" i="1"/>
  <c r="L46" i="1"/>
  <c r="I47" i="1"/>
  <c r="J47" i="1"/>
  <c r="M47" i="1" s="1"/>
  <c r="K47" i="1"/>
  <c r="L47" i="1"/>
  <c r="N47" i="1" s="1"/>
  <c r="O47" i="1" s="1"/>
  <c r="I48" i="1"/>
  <c r="J48" i="1"/>
  <c r="M48" i="1" s="1"/>
  <c r="N48" i="1" s="1"/>
  <c r="O48" i="1" s="1"/>
  <c r="K48" i="1"/>
  <c r="L48" i="1"/>
  <c r="I49" i="1"/>
  <c r="J49" i="1"/>
  <c r="M49" i="1" s="1"/>
  <c r="N49" i="1" s="1"/>
  <c r="O49" i="1" s="1"/>
  <c r="K49" i="1"/>
  <c r="L49" i="1"/>
  <c r="I50" i="1"/>
  <c r="J50" i="1"/>
  <c r="K50" i="1"/>
  <c r="L50" i="1"/>
  <c r="N50" i="1" s="1"/>
  <c r="O50" i="1" s="1"/>
  <c r="M50" i="1"/>
  <c r="I51" i="1"/>
  <c r="J51" i="1"/>
  <c r="M51" i="1" s="1"/>
  <c r="K51" i="1"/>
  <c r="L51" i="1"/>
  <c r="I52" i="1"/>
  <c r="J52" i="1"/>
  <c r="K52" i="1"/>
  <c r="L52" i="1"/>
  <c r="M52" i="1"/>
  <c r="N52" i="1" s="1"/>
  <c r="O52" i="1" s="1"/>
  <c r="I53" i="1"/>
  <c r="J53" i="1"/>
  <c r="M53" i="1" s="1"/>
  <c r="N53" i="1" s="1"/>
  <c r="O53" i="1" s="1"/>
  <c r="K53" i="1"/>
  <c r="L53" i="1"/>
  <c r="I54" i="1"/>
  <c r="J54" i="1"/>
  <c r="M54" i="1" s="1"/>
  <c r="N54" i="1" s="1"/>
  <c r="O54" i="1" s="1"/>
  <c r="K54" i="1"/>
  <c r="L54" i="1"/>
  <c r="I55" i="1"/>
  <c r="J55" i="1"/>
  <c r="K55" i="1"/>
  <c r="L55" i="1"/>
  <c r="M55" i="1"/>
  <c r="N55" i="1"/>
  <c r="O55" i="1" s="1"/>
  <c r="I56" i="1"/>
  <c r="J56" i="1"/>
  <c r="K56" i="1"/>
  <c r="L56" i="1"/>
  <c r="M56" i="1"/>
  <c r="N56" i="1" s="1"/>
  <c r="O56" i="1" s="1"/>
  <c r="I57" i="1"/>
  <c r="J57" i="1"/>
  <c r="M57" i="1" s="1"/>
  <c r="K57" i="1"/>
  <c r="L57" i="1"/>
  <c r="N57" i="1"/>
  <c r="O57" i="1" s="1"/>
  <c r="I58" i="1"/>
  <c r="J58" i="1"/>
  <c r="M58" i="1" s="1"/>
  <c r="N58" i="1" s="1"/>
  <c r="O58" i="1" s="1"/>
  <c r="K58" i="1"/>
  <c r="L58" i="1"/>
  <c r="I59" i="1"/>
  <c r="J59" i="1"/>
  <c r="M59" i="1" s="1"/>
  <c r="K59" i="1"/>
  <c r="L59" i="1"/>
  <c r="I60" i="1"/>
  <c r="J60" i="1"/>
  <c r="M60" i="1" s="1"/>
  <c r="N60" i="1" s="1"/>
  <c r="O60" i="1" s="1"/>
  <c r="K60" i="1"/>
  <c r="L60" i="1"/>
  <c r="I61" i="1"/>
  <c r="J61" i="1"/>
  <c r="M61" i="1" s="1"/>
  <c r="N61" i="1" s="1"/>
  <c r="O61" i="1" s="1"/>
  <c r="K61" i="1"/>
  <c r="L61" i="1"/>
  <c r="I62" i="1"/>
  <c r="J62" i="1"/>
  <c r="K62" i="1"/>
  <c r="L62" i="1"/>
  <c r="M62" i="1"/>
  <c r="N62" i="1" s="1"/>
  <c r="O62" i="1" s="1"/>
  <c r="I63" i="1"/>
  <c r="J63" i="1"/>
  <c r="M63" i="1" s="1"/>
  <c r="K63" i="1"/>
  <c r="L63" i="1"/>
  <c r="I64" i="1"/>
  <c r="J64" i="1"/>
  <c r="K64" i="1"/>
  <c r="L64" i="1"/>
  <c r="M64" i="1"/>
  <c r="N64" i="1" s="1"/>
  <c r="O64" i="1" s="1"/>
  <c r="I65" i="1"/>
  <c r="J65" i="1"/>
  <c r="M65" i="1" s="1"/>
  <c r="N65" i="1" s="1"/>
  <c r="O65" i="1" s="1"/>
  <c r="K65" i="1"/>
  <c r="L65" i="1"/>
  <c r="I66" i="1"/>
  <c r="J66" i="1"/>
  <c r="M66" i="1" s="1"/>
  <c r="K66" i="1"/>
  <c r="L66" i="1"/>
  <c r="I67" i="1"/>
  <c r="J67" i="1"/>
  <c r="K67" i="1"/>
  <c r="L67" i="1"/>
  <c r="M67" i="1"/>
  <c r="N67" i="1"/>
  <c r="O67" i="1" s="1"/>
  <c r="I68" i="1"/>
  <c r="J68" i="1"/>
  <c r="K68" i="1"/>
  <c r="L68" i="1"/>
  <c r="M68" i="1"/>
  <c r="N68" i="1" s="1"/>
  <c r="O68" i="1" s="1"/>
  <c r="I69" i="1"/>
  <c r="J69" i="1"/>
  <c r="M69" i="1" s="1"/>
  <c r="N69" i="1" s="1"/>
  <c r="O69" i="1" s="1"/>
  <c r="K69" i="1"/>
  <c r="L69" i="1"/>
  <c r="I70" i="1"/>
  <c r="J70" i="1"/>
  <c r="M70" i="1" s="1"/>
  <c r="N70" i="1" s="1"/>
  <c r="O70" i="1" s="1"/>
  <c r="K70" i="1"/>
  <c r="L70" i="1"/>
  <c r="I71" i="1"/>
  <c r="J71" i="1"/>
  <c r="M71" i="1" s="1"/>
  <c r="K71" i="1"/>
  <c r="L71" i="1"/>
  <c r="I72" i="1"/>
  <c r="J72" i="1"/>
  <c r="M72" i="1" s="1"/>
  <c r="N72" i="1" s="1"/>
  <c r="O72" i="1" s="1"/>
  <c r="K72" i="1"/>
  <c r="L72" i="1"/>
  <c r="I73" i="1"/>
  <c r="J73" i="1"/>
  <c r="M73" i="1" s="1"/>
  <c r="N73" i="1" s="1"/>
  <c r="O73" i="1" s="1"/>
  <c r="K73" i="1"/>
  <c r="L73" i="1"/>
  <c r="I74" i="1"/>
  <c r="J74" i="1"/>
  <c r="K74" i="1"/>
  <c r="L74" i="1"/>
  <c r="M74" i="1"/>
  <c r="N74" i="1" s="1"/>
  <c r="O74" i="1"/>
  <c r="I75" i="1"/>
  <c r="J75" i="1"/>
  <c r="M75" i="1" s="1"/>
  <c r="K75" i="1"/>
  <c r="L75" i="1"/>
  <c r="I76" i="1"/>
  <c r="J76" i="1"/>
  <c r="K76" i="1"/>
  <c r="L76" i="1"/>
  <c r="M76" i="1"/>
  <c r="N76" i="1" s="1"/>
  <c r="O76" i="1" s="1"/>
  <c r="I77" i="1"/>
  <c r="J77" i="1"/>
  <c r="M77" i="1" s="1"/>
  <c r="N77" i="1" s="1"/>
  <c r="O77" i="1" s="1"/>
  <c r="K77" i="1"/>
  <c r="L77" i="1"/>
  <c r="I78" i="1"/>
  <c r="J78" i="1"/>
  <c r="M78" i="1" s="1"/>
  <c r="N78" i="1" s="1"/>
  <c r="O78" i="1" s="1"/>
  <c r="K78" i="1"/>
  <c r="L78" i="1"/>
  <c r="I79" i="1"/>
  <c r="J79" i="1"/>
  <c r="M79" i="1" s="1"/>
  <c r="N79" i="1" s="1"/>
  <c r="O79" i="1" s="1"/>
  <c r="K79" i="1"/>
  <c r="L79" i="1"/>
  <c r="I80" i="1"/>
  <c r="J80" i="1"/>
  <c r="K80" i="1"/>
  <c r="L80" i="1"/>
  <c r="M80" i="1"/>
  <c r="N80" i="1" s="1"/>
  <c r="O80" i="1" s="1"/>
  <c r="I81" i="1"/>
  <c r="J81" i="1"/>
  <c r="M81" i="1" s="1"/>
  <c r="K81" i="1"/>
  <c r="L81" i="1"/>
  <c r="N81" i="1"/>
  <c r="O81" i="1" s="1"/>
  <c r="I82" i="1"/>
  <c r="J82" i="1"/>
  <c r="M82" i="1" s="1"/>
  <c r="N82" i="1" s="1"/>
  <c r="O82" i="1" s="1"/>
  <c r="K82" i="1"/>
  <c r="L82" i="1"/>
  <c r="I83" i="1"/>
  <c r="J83" i="1"/>
  <c r="M83" i="1" s="1"/>
  <c r="K83" i="1"/>
  <c r="L83" i="1"/>
  <c r="I84" i="1"/>
  <c r="J84" i="1"/>
  <c r="M84" i="1" s="1"/>
  <c r="N84" i="1" s="1"/>
  <c r="O84" i="1" s="1"/>
  <c r="K84" i="1"/>
  <c r="L84" i="1"/>
  <c r="I85" i="1"/>
  <c r="J85" i="1"/>
  <c r="M85" i="1" s="1"/>
  <c r="N85" i="1" s="1"/>
  <c r="O85" i="1" s="1"/>
  <c r="K85" i="1"/>
  <c r="L85" i="1"/>
  <c r="I86" i="1"/>
  <c r="J86" i="1"/>
  <c r="K86" i="1"/>
  <c r="L86" i="1"/>
  <c r="N86" i="1" s="1"/>
  <c r="O86" i="1" s="1"/>
  <c r="M86" i="1"/>
  <c r="I87" i="1"/>
  <c r="J87" i="1"/>
  <c r="M87" i="1" s="1"/>
  <c r="K87" i="1"/>
  <c r="L87" i="1"/>
  <c r="I88" i="1"/>
  <c r="J88" i="1"/>
  <c r="K88" i="1"/>
  <c r="L88" i="1"/>
  <c r="M88" i="1"/>
  <c r="N88" i="1" s="1"/>
  <c r="O88" i="1" s="1"/>
  <c r="I89" i="1"/>
  <c r="J89" i="1"/>
  <c r="M89" i="1" s="1"/>
  <c r="N89" i="1" s="1"/>
  <c r="O89" i="1" s="1"/>
  <c r="K89" i="1"/>
  <c r="L89" i="1"/>
  <c r="I90" i="1"/>
  <c r="J90" i="1"/>
  <c r="M90" i="1" s="1"/>
  <c r="N90" i="1" s="1"/>
  <c r="O90" i="1" s="1"/>
  <c r="K90" i="1"/>
  <c r="L90" i="1"/>
  <c r="I91" i="1"/>
  <c r="J91" i="1"/>
  <c r="M91" i="1" s="1"/>
  <c r="N91" i="1" s="1"/>
  <c r="O91" i="1" s="1"/>
  <c r="K91" i="1"/>
  <c r="L91" i="1"/>
  <c r="I92" i="1"/>
  <c r="J92" i="1"/>
  <c r="K92" i="1"/>
  <c r="L92" i="1"/>
  <c r="M92" i="1"/>
  <c r="N92" i="1" s="1"/>
  <c r="O92" i="1" s="1"/>
  <c r="I93" i="1"/>
  <c r="J93" i="1"/>
  <c r="M93" i="1" s="1"/>
  <c r="K93" i="1"/>
  <c r="L93" i="1"/>
  <c r="N93" i="1"/>
  <c r="O93" i="1" s="1"/>
  <c r="I94" i="1"/>
  <c r="J94" i="1"/>
  <c r="M94" i="1" s="1"/>
  <c r="N94" i="1" s="1"/>
  <c r="O94" i="1" s="1"/>
  <c r="K94" i="1"/>
  <c r="L94" i="1"/>
  <c r="I95" i="1"/>
  <c r="J95" i="1"/>
  <c r="M95" i="1" s="1"/>
  <c r="K95" i="1"/>
  <c r="L95" i="1"/>
  <c r="N95" i="1" s="1"/>
  <c r="O95" i="1" s="1"/>
  <c r="I96" i="1"/>
  <c r="J96" i="1"/>
  <c r="M96" i="1" s="1"/>
  <c r="N96" i="1" s="1"/>
  <c r="O96" i="1" s="1"/>
  <c r="K96" i="1"/>
  <c r="L96" i="1"/>
  <c r="I97" i="1"/>
  <c r="J97" i="1"/>
  <c r="M97" i="1" s="1"/>
  <c r="N97" i="1" s="1"/>
  <c r="O97" i="1" s="1"/>
  <c r="K97" i="1"/>
  <c r="L97" i="1"/>
  <c r="I98" i="1"/>
  <c r="J98" i="1"/>
  <c r="K98" i="1"/>
  <c r="L98" i="1"/>
  <c r="N98" i="1" s="1"/>
  <c r="O98" i="1" s="1"/>
  <c r="M98" i="1"/>
  <c r="I99" i="1"/>
  <c r="J99" i="1"/>
  <c r="M99" i="1" s="1"/>
  <c r="K99" i="1"/>
  <c r="L99" i="1"/>
  <c r="I100" i="1"/>
  <c r="J100" i="1"/>
  <c r="K100" i="1"/>
  <c r="L100" i="1"/>
  <c r="M100" i="1"/>
  <c r="N100" i="1" s="1"/>
  <c r="O100" i="1" s="1"/>
  <c r="I101" i="1"/>
  <c r="J101" i="1"/>
  <c r="M101" i="1" s="1"/>
  <c r="N101" i="1" s="1"/>
  <c r="O101" i="1" s="1"/>
  <c r="K101" i="1"/>
  <c r="L101" i="1"/>
  <c r="I102" i="1"/>
  <c r="J102" i="1"/>
  <c r="M102" i="1" s="1"/>
  <c r="N102" i="1" s="1"/>
  <c r="O102" i="1" s="1"/>
  <c r="K102" i="1"/>
  <c r="L102" i="1"/>
  <c r="I103" i="1"/>
  <c r="J103" i="1"/>
  <c r="K103" i="1"/>
  <c r="L103" i="1"/>
  <c r="M103" i="1"/>
  <c r="N103" i="1"/>
  <c r="O103" i="1" s="1"/>
  <c r="I104" i="1"/>
  <c r="J104" i="1"/>
  <c r="K104" i="1"/>
  <c r="L104" i="1"/>
  <c r="M104" i="1"/>
  <c r="N104" i="1" s="1"/>
  <c r="O104" i="1" s="1"/>
  <c r="I105" i="1"/>
  <c r="J105" i="1"/>
  <c r="M105" i="1" s="1"/>
  <c r="K105" i="1"/>
  <c r="L105" i="1"/>
  <c r="N105" i="1"/>
  <c r="O105" i="1" s="1"/>
  <c r="I106" i="1"/>
  <c r="J106" i="1"/>
  <c r="M106" i="1" s="1"/>
  <c r="N106" i="1" s="1"/>
  <c r="O106" i="1" s="1"/>
  <c r="K106" i="1"/>
  <c r="L106" i="1"/>
  <c r="I107" i="1"/>
  <c r="J107" i="1"/>
  <c r="M107" i="1" s="1"/>
  <c r="K107" i="1"/>
  <c r="L107" i="1"/>
  <c r="I108" i="1"/>
  <c r="J108" i="1"/>
  <c r="M108" i="1" s="1"/>
  <c r="N108" i="1" s="1"/>
  <c r="O108" i="1" s="1"/>
  <c r="K108" i="1"/>
  <c r="L108" i="1"/>
  <c r="I109" i="1"/>
  <c r="J109" i="1"/>
  <c r="M109" i="1" s="1"/>
  <c r="N109" i="1" s="1"/>
  <c r="O109" i="1" s="1"/>
  <c r="K109" i="1"/>
  <c r="L109" i="1"/>
  <c r="I110" i="1"/>
  <c r="J110" i="1"/>
  <c r="K110" i="1"/>
  <c r="L110" i="1"/>
  <c r="N110" i="1" s="1"/>
  <c r="O110" i="1" s="1"/>
  <c r="M110" i="1"/>
  <c r="I111" i="1"/>
  <c r="J111" i="1"/>
  <c r="M111" i="1" s="1"/>
  <c r="K111" i="1"/>
  <c r="L111" i="1"/>
  <c r="I112" i="1"/>
  <c r="J112" i="1"/>
  <c r="K112" i="1"/>
  <c r="L112" i="1"/>
  <c r="M112" i="1"/>
  <c r="N112" i="1" s="1"/>
  <c r="O112" i="1" s="1"/>
  <c r="I113" i="1"/>
  <c r="J113" i="1"/>
  <c r="M113" i="1" s="1"/>
  <c r="N113" i="1" s="1"/>
  <c r="O113" i="1" s="1"/>
  <c r="K113" i="1"/>
  <c r="L113" i="1"/>
  <c r="I114" i="1"/>
  <c r="J114" i="1"/>
  <c r="M114" i="1" s="1"/>
  <c r="N114" i="1" s="1"/>
  <c r="O114" i="1" s="1"/>
  <c r="K114" i="1"/>
  <c r="L114" i="1"/>
  <c r="I115" i="1"/>
  <c r="J115" i="1"/>
  <c r="K115" i="1"/>
  <c r="L115" i="1"/>
  <c r="M115" i="1"/>
  <c r="N115" i="1"/>
  <c r="O115" i="1" s="1"/>
  <c r="I116" i="1"/>
  <c r="J116" i="1"/>
  <c r="K116" i="1"/>
  <c r="L116" i="1"/>
  <c r="M116" i="1"/>
  <c r="N116" i="1"/>
  <c r="O116" i="1" s="1"/>
  <c r="I117" i="1"/>
  <c r="J117" i="1"/>
  <c r="M117" i="1" s="1"/>
  <c r="N117" i="1" s="1"/>
  <c r="O117" i="1" s="1"/>
  <c r="K117" i="1"/>
  <c r="L117" i="1"/>
  <c r="I118" i="1"/>
  <c r="J118" i="1"/>
  <c r="M118" i="1" s="1"/>
  <c r="N118" i="1" s="1"/>
  <c r="O118" i="1" s="1"/>
  <c r="K118" i="1"/>
  <c r="L118" i="1"/>
  <c r="I119" i="1"/>
  <c r="J119" i="1"/>
  <c r="M119" i="1" s="1"/>
  <c r="K119" i="1"/>
  <c r="L119" i="1"/>
  <c r="N119" i="1" s="1"/>
  <c r="O119" i="1" s="1"/>
  <c r="I120" i="1"/>
  <c r="J120" i="1"/>
  <c r="M120" i="1" s="1"/>
  <c r="N120" i="1" s="1"/>
  <c r="O120" i="1" s="1"/>
  <c r="K120" i="1"/>
  <c r="L120" i="1"/>
  <c r="I121" i="1"/>
  <c r="J121" i="1"/>
  <c r="M121" i="1" s="1"/>
  <c r="N121" i="1" s="1"/>
  <c r="O121" i="1" s="1"/>
  <c r="K121" i="1"/>
  <c r="L121" i="1"/>
  <c r="I122" i="1"/>
  <c r="J122" i="1"/>
  <c r="K122" i="1"/>
  <c r="L122" i="1"/>
  <c r="N122" i="1" s="1"/>
  <c r="M122" i="1"/>
  <c r="O122" i="1"/>
  <c r="I123" i="1"/>
  <c r="J123" i="1"/>
  <c r="K123" i="1"/>
  <c r="L123" i="1"/>
  <c r="M123" i="1"/>
  <c r="N123" i="1"/>
  <c r="O123" i="1"/>
  <c r="I124" i="1"/>
  <c r="J124" i="1"/>
  <c r="K124" i="1"/>
  <c r="L124" i="1"/>
  <c r="M124" i="1"/>
  <c r="I125" i="1"/>
  <c r="J125" i="1"/>
  <c r="M125" i="1" s="1"/>
  <c r="N125" i="1" s="1"/>
  <c r="O125" i="1" s="1"/>
  <c r="K125" i="1"/>
  <c r="L125" i="1"/>
  <c r="I126" i="1"/>
  <c r="J126" i="1"/>
  <c r="M126" i="1" s="1"/>
  <c r="N126" i="1" s="1"/>
  <c r="O126" i="1" s="1"/>
  <c r="K126" i="1"/>
  <c r="L126" i="1"/>
  <c r="I127" i="1"/>
  <c r="J127" i="1"/>
  <c r="K127" i="1"/>
  <c r="L127" i="1"/>
  <c r="M127" i="1"/>
  <c r="N127" i="1"/>
  <c r="O127" i="1" s="1"/>
  <c r="I128" i="1"/>
  <c r="J128" i="1"/>
  <c r="K128" i="1"/>
  <c r="L128" i="1"/>
  <c r="M128" i="1"/>
  <c r="N128" i="1" s="1"/>
  <c r="O128" i="1" s="1"/>
  <c r="I129" i="1"/>
  <c r="J129" i="1"/>
  <c r="M129" i="1" s="1"/>
  <c r="K129" i="1"/>
  <c r="L129" i="1"/>
  <c r="N129" i="1"/>
  <c r="O129" i="1" s="1"/>
  <c r="I130" i="1"/>
  <c r="J130" i="1"/>
  <c r="M130" i="1" s="1"/>
  <c r="N130" i="1" s="1"/>
  <c r="O130" i="1" s="1"/>
  <c r="K130" i="1"/>
  <c r="L130" i="1"/>
  <c r="I131" i="1"/>
  <c r="J131" i="1"/>
  <c r="M131" i="1" s="1"/>
  <c r="K131" i="1"/>
  <c r="L131" i="1"/>
  <c r="I132" i="1"/>
  <c r="J132" i="1"/>
  <c r="K132" i="1"/>
  <c r="L132" i="1"/>
  <c r="M132" i="1"/>
  <c r="N132" i="1"/>
  <c r="O132" i="1"/>
  <c r="I133" i="1"/>
  <c r="J133" i="1"/>
  <c r="M133" i="1" s="1"/>
  <c r="N133" i="1" s="1"/>
  <c r="O133" i="1" s="1"/>
  <c r="K133" i="1"/>
  <c r="L133" i="1"/>
  <c r="I134" i="1"/>
  <c r="J134" i="1"/>
  <c r="K134" i="1"/>
  <c r="L134" i="1"/>
  <c r="N134" i="1" s="1"/>
  <c r="O134" i="1" s="1"/>
  <c r="M134" i="1"/>
  <c r="I135" i="1"/>
  <c r="J135" i="1"/>
  <c r="K135" i="1"/>
  <c r="L135" i="1"/>
  <c r="N135" i="1" s="1"/>
  <c r="O135" i="1" s="1"/>
  <c r="M135" i="1"/>
  <c r="I136" i="1"/>
  <c r="J136" i="1"/>
  <c r="K136" i="1"/>
  <c r="L136" i="1"/>
  <c r="M136" i="1"/>
  <c r="I137" i="1"/>
  <c r="J137" i="1"/>
  <c r="M137" i="1" s="1"/>
  <c r="N137" i="1" s="1"/>
  <c r="O137" i="1" s="1"/>
  <c r="K137" i="1"/>
  <c r="L137" i="1"/>
  <c r="I138" i="1"/>
  <c r="J138" i="1"/>
  <c r="M138" i="1" s="1"/>
  <c r="N138" i="1" s="1"/>
  <c r="O138" i="1" s="1"/>
  <c r="K138" i="1"/>
  <c r="L138" i="1"/>
  <c r="I139" i="1"/>
  <c r="J139" i="1"/>
  <c r="K139" i="1"/>
  <c r="L139" i="1"/>
  <c r="M139" i="1"/>
  <c r="N139" i="1"/>
  <c r="O139" i="1" s="1"/>
  <c r="I140" i="1"/>
  <c r="J140" i="1"/>
  <c r="K140" i="1"/>
  <c r="L140" i="1"/>
  <c r="M140" i="1"/>
  <c r="N140" i="1" s="1"/>
  <c r="O140" i="1" s="1"/>
  <c r="I141" i="1"/>
  <c r="J141" i="1"/>
  <c r="M141" i="1" s="1"/>
  <c r="K141" i="1"/>
  <c r="L141" i="1"/>
  <c r="N141" i="1"/>
  <c r="O141" i="1" s="1"/>
  <c r="I142" i="1"/>
  <c r="J142" i="1"/>
  <c r="M142" i="1" s="1"/>
  <c r="N142" i="1" s="1"/>
  <c r="O142" i="1" s="1"/>
  <c r="K142" i="1"/>
  <c r="L142" i="1"/>
  <c r="I143" i="1"/>
  <c r="J143" i="1"/>
  <c r="M143" i="1" s="1"/>
  <c r="K143" i="1"/>
  <c r="L143" i="1"/>
  <c r="N143" i="1" s="1"/>
  <c r="O143" i="1" s="1"/>
  <c r="I144" i="1"/>
  <c r="J144" i="1"/>
  <c r="K144" i="1"/>
  <c r="L144" i="1"/>
  <c r="M144" i="1"/>
  <c r="N144" i="1"/>
  <c r="O144" i="1"/>
  <c r="I145" i="1"/>
  <c r="J145" i="1"/>
  <c r="M145" i="1" s="1"/>
  <c r="N145" i="1" s="1"/>
  <c r="O145" i="1" s="1"/>
  <c r="K145" i="1"/>
  <c r="L145" i="1"/>
  <c r="I146" i="1"/>
  <c r="J146" i="1"/>
  <c r="K146" i="1"/>
  <c r="L146" i="1"/>
  <c r="N146" i="1" s="1"/>
  <c r="M146" i="1"/>
  <c r="O146" i="1"/>
  <c r="I147" i="1"/>
  <c r="J147" i="1"/>
  <c r="K147" i="1"/>
  <c r="L147" i="1"/>
  <c r="N147" i="1" s="1"/>
  <c r="O147" i="1" s="1"/>
  <c r="M147" i="1"/>
  <c r="I148" i="1"/>
  <c r="J148" i="1"/>
  <c r="K148" i="1"/>
  <c r="L148" i="1"/>
  <c r="M148" i="1"/>
  <c r="I149" i="1"/>
  <c r="J149" i="1"/>
  <c r="M149" i="1" s="1"/>
  <c r="N149" i="1" s="1"/>
  <c r="O149" i="1" s="1"/>
  <c r="K149" i="1"/>
  <c r="L149" i="1"/>
  <c r="I150" i="1"/>
  <c r="J150" i="1"/>
  <c r="M150" i="1" s="1"/>
  <c r="N150" i="1" s="1"/>
  <c r="O150" i="1" s="1"/>
  <c r="K150" i="1"/>
  <c r="L150" i="1"/>
  <c r="I151" i="1"/>
  <c r="J151" i="1"/>
  <c r="K151" i="1"/>
  <c r="L151" i="1"/>
  <c r="M151" i="1"/>
  <c r="N151" i="1"/>
  <c r="O151" i="1" s="1"/>
  <c r="I152" i="1"/>
  <c r="J152" i="1"/>
  <c r="K152" i="1"/>
  <c r="L152" i="1"/>
  <c r="M152" i="1"/>
  <c r="N152" i="1" s="1"/>
  <c r="O152" i="1" s="1"/>
  <c r="I153" i="1"/>
  <c r="J153" i="1"/>
  <c r="M153" i="1" s="1"/>
  <c r="N153" i="1" s="1"/>
  <c r="O153" i="1" s="1"/>
  <c r="K153" i="1"/>
  <c r="L153" i="1"/>
  <c r="I154" i="1"/>
  <c r="J154" i="1"/>
  <c r="M154" i="1" s="1"/>
  <c r="N154" i="1" s="1"/>
  <c r="O154" i="1" s="1"/>
  <c r="K154" i="1"/>
  <c r="L154" i="1"/>
  <c r="I155" i="1"/>
  <c r="J155" i="1"/>
  <c r="M155" i="1" s="1"/>
  <c r="K155" i="1"/>
  <c r="L155" i="1"/>
  <c r="N155" i="1" s="1"/>
  <c r="O155" i="1" s="1"/>
  <c r="I156" i="1"/>
  <c r="J156" i="1"/>
  <c r="M156" i="1" s="1"/>
  <c r="N156" i="1" s="1"/>
  <c r="O156" i="1" s="1"/>
  <c r="K156" i="1"/>
  <c r="L156" i="1"/>
  <c r="I157" i="1"/>
  <c r="J157" i="1"/>
  <c r="M157" i="1" s="1"/>
  <c r="N157" i="1" s="1"/>
  <c r="O157" i="1" s="1"/>
  <c r="K157" i="1"/>
  <c r="L157" i="1"/>
  <c r="I158" i="1"/>
  <c r="J158" i="1"/>
  <c r="K158" i="1"/>
  <c r="L158" i="1"/>
  <c r="N158" i="1" s="1"/>
  <c r="O158" i="1" s="1"/>
  <c r="M158" i="1"/>
  <c r="I159" i="1"/>
  <c r="J159" i="1"/>
  <c r="M159" i="1" s="1"/>
  <c r="K159" i="1"/>
  <c r="L159" i="1"/>
  <c r="N159" i="1" s="1"/>
  <c r="O159" i="1" s="1"/>
  <c r="I160" i="1"/>
  <c r="J160" i="1"/>
  <c r="K160" i="1"/>
  <c r="L160" i="1"/>
  <c r="M160" i="1"/>
  <c r="I161" i="1"/>
  <c r="J161" i="1"/>
  <c r="M161" i="1" s="1"/>
  <c r="N161" i="1" s="1"/>
  <c r="O161" i="1" s="1"/>
  <c r="K161" i="1"/>
  <c r="L161" i="1"/>
  <c r="I162" i="1"/>
  <c r="J162" i="1"/>
  <c r="M162" i="1" s="1"/>
  <c r="N162" i="1" s="1"/>
  <c r="O162" i="1" s="1"/>
  <c r="K162" i="1"/>
  <c r="L162" i="1"/>
  <c r="I163" i="1"/>
  <c r="J163" i="1"/>
  <c r="K163" i="1"/>
  <c r="L163" i="1"/>
  <c r="M163" i="1"/>
  <c r="N163" i="1"/>
  <c r="O163" i="1" s="1"/>
  <c r="I164" i="1"/>
  <c r="J164" i="1"/>
  <c r="K164" i="1"/>
  <c r="L164" i="1"/>
  <c r="M164" i="1"/>
  <c r="N164" i="1" s="1"/>
  <c r="O164" i="1" s="1"/>
  <c r="I165" i="1"/>
  <c r="J165" i="1"/>
  <c r="M165" i="1" s="1"/>
  <c r="K165" i="1"/>
  <c r="L165" i="1"/>
  <c r="N165" i="1"/>
  <c r="O165" i="1" s="1"/>
  <c r="I166" i="1"/>
  <c r="J166" i="1"/>
  <c r="M166" i="1" s="1"/>
  <c r="N166" i="1" s="1"/>
  <c r="O166" i="1" s="1"/>
  <c r="K166" i="1"/>
  <c r="L166" i="1"/>
  <c r="I167" i="1"/>
  <c r="J167" i="1"/>
  <c r="M167" i="1" s="1"/>
  <c r="K167" i="1"/>
  <c r="L167" i="1"/>
  <c r="I168" i="1"/>
  <c r="J168" i="1"/>
  <c r="K168" i="1"/>
  <c r="L168" i="1"/>
  <c r="M168" i="1"/>
  <c r="N168" i="1"/>
  <c r="O168" i="1"/>
  <c r="I169" i="1"/>
  <c r="J169" i="1"/>
  <c r="M169" i="1" s="1"/>
  <c r="N169" i="1" s="1"/>
  <c r="O169" i="1" s="1"/>
  <c r="K169" i="1"/>
  <c r="L169" i="1"/>
  <c r="I170" i="1"/>
  <c r="J170" i="1"/>
  <c r="K170" i="1"/>
  <c r="L170" i="1"/>
  <c r="N170" i="1" s="1"/>
  <c r="M170" i="1"/>
  <c r="O170" i="1"/>
  <c r="I171" i="1"/>
  <c r="J171" i="1"/>
  <c r="M171" i="1" s="1"/>
  <c r="K171" i="1"/>
  <c r="L171" i="1"/>
  <c r="N171" i="1" s="1"/>
  <c r="O171" i="1" s="1"/>
  <c r="I172" i="1"/>
  <c r="J172" i="1"/>
  <c r="K172" i="1"/>
  <c r="L172" i="1"/>
  <c r="N172" i="1" s="1"/>
  <c r="O172" i="1" s="1"/>
  <c r="M172" i="1"/>
  <c r="I173" i="1"/>
  <c r="J173" i="1"/>
  <c r="M173" i="1" s="1"/>
  <c r="N173" i="1" s="1"/>
  <c r="O173" i="1" s="1"/>
  <c r="K173" i="1"/>
  <c r="L173" i="1"/>
  <c r="I174" i="1"/>
  <c r="J174" i="1"/>
  <c r="M174" i="1" s="1"/>
  <c r="N174" i="1" s="1"/>
  <c r="O174" i="1" s="1"/>
  <c r="K174" i="1"/>
  <c r="L174" i="1"/>
  <c r="I175" i="1"/>
  <c r="J175" i="1"/>
  <c r="K175" i="1"/>
  <c r="L175" i="1"/>
  <c r="M175" i="1"/>
  <c r="N175" i="1"/>
  <c r="O175" i="1" s="1"/>
  <c r="I176" i="1"/>
  <c r="J176" i="1"/>
  <c r="K176" i="1"/>
  <c r="L176" i="1"/>
  <c r="M176" i="1"/>
  <c r="N176" i="1" s="1"/>
  <c r="O176" i="1" s="1"/>
  <c r="I177" i="1"/>
  <c r="J177" i="1"/>
  <c r="M177" i="1" s="1"/>
  <c r="N177" i="1" s="1"/>
  <c r="O177" i="1" s="1"/>
  <c r="K177" i="1"/>
  <c r="L177" i="1"/>
  <c r="I178" i="1"/>
  <c r="J178" i="1"/>
  <c r="M178" i="1" s="1"/>
  <c r="N178" i="1" s="1"/>
  <c r="O178" i="1" s="1"/>
  <c r="K178" i="1"/>
  <c r="L178" i="1"/>
  <c r="I179" i="1"/>
  <c r="J179" i="1"/>
  <c r="M179" i="1" s="1"/>
  <c r="K179" i="1"/>
  <c r="L179" i="1"/>
  <c r="N179" i="1" s="1"/>
  <c r="O179" i="1" s="1"/>
  <c r="I180" i="1"/>
  <c r="J180" i="1"/>
  <c r="K180" i="1"/>
  <c r="L180" i="1"/>
  <c r="M180" i="1"/>
  <c r="N180" i="1"/>
  <c r="O180" i="1"/>
  <c r="I181" i="1"/>
  <c r="J181" i="1"/>
  <c r="M181" i="1" s="1"/>
  <c r="N181" i="1" s="1"/>
  <c r="O181" i="1" s="1"/>
  <c r="K181" i="1"/>
  <c r="L181" i="1"/>
  <c r="I182" i="1"/>
  <c r="J182" i="1"/>
  <c r="K182" i="1"/>
  <c r="L182" i="1"/>
  <c r="N182" i="1" s="1"/>
  <c r="O182" i="1" s="1"/>
  <c r="M182" i="1"/>
  <c r="I183" i="1"/>
  <c r="J183" i="1"/>
  <c r="M183" i="1" s="1"/>
  <c r="K183" i="1"/>
  <c r="L183" i="1"/>
  <c r="I184" i="1"/>
  <c r="J184" i="1"/>
  <c r="K184" i="1"/>
  <c r="L184" i="1"/>
  <c r="M184" i="1"/>
  <c r="N184" i="1" s="1"/>
  <c r="O184" i="1" s="1"/>
  <c r="I185" i="1"/>
  <c r="J185" i="1"/>
  <c r="M185" i="1" s="1"/>
  <c r="N185" i="1" s="1"/>
  <c r="O185" i="1" s="1"/>
  <c r="K185" i="1"/>
  <c r="L185" i="1"/>
  <c r="I186" i="1"/>
  <c r="J186" i="1"/>
  <c r="M186" i="1" s="1"/>
  <c r="N186" i="1" s="1"/>
  <c r="O186" i="1" s="1"/>
  <c r="K186" i="1"/>
  <c r="L186" i="1"/>
  <c r="I187" i="1"/>
  <c r="J187" i="1"/>
  <c r="K187" i="1"/>
  <c r="L187" i="1"/>
  <c r="M187" i="1"/>
  <c r="N187" i="1"/>
  <c r="O187" i="1" s="1"/>
  <c r="I188" i="1"/>
  <c r="J188" i="1"/>
  <c r="K188" i="1"/>
  <c r="L188" i="1"/>
  <c r="M188" i="1"/>
  <c r="N188" i="1" s="1"/>
  <c r="O188" i="1" s="1"/>
  <c r="I189" i="1"/>
  <c r="J189" i="1"/>
  <c r="M189" i="1" s="1"/>
  <c r="N189" i="1" s="1"/>
  <c r="O189" i="1" s="1"/>
  <c r="K189" i="1"/>
  <c r="L189" i="1"/>
  <c r="I190" i="1"/>
  <c r="J190" i="1"/>
  <c r="M190" i="1" s="1"/>
  <c r="N190" i="1" s="1"/>
  <c r="O190" i="1" s="1"/>
  <c r="K190" i="1"/>
  <c r="L190" i="1"/>
  <c r="I191" i="1"/>
  <c r="J191" i="1"/>
  <c r="M191" i="1" s="1"/>
  <c r="K191" i="1"/>
  <c r="L191" i="1"/>
  <c r="I192" i="1"/>
  <c r="J192" i="1"/>
  <c r="K192" i="1"/>
  <c r="L192" i="1"/>
  <c r="M192" i="1"/>
  <c r="N192" i="1"/>
  <c r="O192" i="1"/>
  <c r="I193" i="1"/>
  <c r="J193" i="1"/>
  <c r="M193" i="1" s="1"/>
  <c r="N193" i="1" s="1"/>
  <c r="O193" i="1" s="1"/>
  <c r="K193" i="1"/>
  <c r="L193" i="1"/>
  <c r="I194" i="1"/>
  <c r="J194" i="1"/>
  <c r="K194" i="1"/>
  <c r="L194" i="1"/>
  <c r="N194" i="1" s="1"/>
  <c r="O194" i="1" s="1"/>
  <c r="M194" i="1"/>
  <c r="I195" i="1"/>
  <c r="J195" i="1"/>
  <c r="M195" i="1" s="1"/>
  <c r="K195" i="1"/>
  <c r="L195" i="1"/>
  <c r="N195" i="1" s="1"/>
  <c r="O195" i="1" s="1"/>
  <c r="I196" i="1"/>
  <c r="J196" i="1"/>
  <c r="K196" i="1"/>
  <c r="L196" i="1"/>
  <c r="M196" i="1"/>
  <c r="N196" i="1" s="1"/>
  <c r="O196" i="1" s="1"/>
  <c r="I197" i="1"/>
  <c r="J197" i="1"/>
  <c r="M197" i="1" s="1"/>
  <c r="N197" i="1" s="1"/>
  <c r="O197" i="1" s="1"/>
  <c r="K197" i="1"/>
  <c r="L197" i="1"/>
  <c r="I198" i="1"/>
  <c r="J198" i="1"/>
  <c r="M198" i="1" s="1"/>
  <c r="K198" i="1"/>
  <c r="L198" i="1"/>
  <c r="N198" i="1" s="1"/>
  <c r="O198" i="1" s="1"/>
  <c r="I199" i="1"/>
  <c r="J199" i="1"/>
  <c r="K199" i="1"/>
  <c r="L199" i="1"/>
  <c r="M199" i="1"/>
  <c r="N199" i="1"/>
  <c r="O199" i="1" s="1"/>
  <c r="I200" i="1"/>
  <c r="J200" i="1"/>
  <c r="K200" i="1"/>
  <c r="L200" i="1"/>
  <c r="M200" i="1"/>
  <c r="N200" i="1" s="1"/>
  <c r="O200" i="1" s="1"/>
  <c r="I201" i="1"/>
  <c r="J201" i="1"/>
  <c r="M201" i="1" s="1"/>
  <c r="K201" i="1"/>
  <c r="L201" i="1"/>
  <c r="N201" i="1"/>
  <c r="O201" i="1" s="1"/>
  <c r="I202" i="1"/>
  <c r="J202" i="1"/>
  <c r="M202" i="1" s="1"/>
  <c r="N202" i="1" s="1"/>
  <c r="O202" i="1" s="1"/>
  <c r="K202" i="1"/>
  <c r="L202" i="1"/>
  <c r="I203" i="1"/>
  <c r="J203" i="1"/>
  <c r="M203" i="1" s="1"/>
  <c r="K203" i="1"/>
  <c r="L203" i="1"/>
  <c r="N203" i="1" s="1"/>
  <c r="O203" i="1" s="1"/>
  <c r="I204" i="1"/>
  <c r="J204" i="1"/>
  <c r="K204" i="1"/>
  <c r="L204" i="1"/>
  <c r="M204" i="1"/>
  <c r="N204" i="1"/>
  <c r="O204" i="1"/>
  <c r="I205" i="1"/>
  <c r="J205" i="1"/>
  <c r="M205" i="1" s="1"/>
  <c r="N205" i="1" s="1"/>
  <c r="O205" i="1" s="1"/>
  <c r="K205" i="1"/>
  <c r="L205" i="1"/>
  <c r="I206" i="1"/>
  <c r="J206" i="1"/>
  <c r="K206" i="1"/>
  <c r="L206" i="1"/>
  <c r="N206" i="1" s="1"/>
  <c r="M206" i="1"/>
  <c r="O206" i="1"/>
  <c r="I207" i="1"/>
  <c r="J207" i="1"/>
  <c r="M207" i="1" s="1"/>
  <c r="K207" i="1"/>
  <c r="L207" i="1"/>
  <c r="I208" i="1"/>
  <c r="J208" i="1"/>
  <c r="K208" i="1"/>
  <c r="L208" i="1"/>
  <c r="M208" i="1"/>
  <c r="I209" i="1"/>
  <c r="J209" i="1"/>
  <c r="M209" i="1" s="1"/>
  <c r="N209" i="1" s="1"/>
  <c r="O209" i="1" s="1"/>
  <c r="K209" i="1"/>
  <c r="L209" i="1"/>
  <c r="I210" i="1"/>
  <c r="J210" i="1"/>
  <c r="M210" i="1" s="1"/>
  <c r="N210" i="1" s="1"/>
  <c r="O210" i="1" s="1"/>
  <c r="K210" i="1"/>
  <c r="L210" i="1"/>
  <c r="I211" i="1"/>
  <c r="J211" i="1"/>
  <c r="K211" i="1"/>
  <c r="L211" i="1"/>
  <c r="M211" i="1"/>
  <c r="N211" i="1"/>
  <c r="O211" i="1" s="1"/>
  <c r="I212" i="1"/>
  <c r="J212" i="1"/>
  <c r="K212" i="1"/>
  <c r="L212" i="1"/>
  <c r="M212" i="1"/>
  <c r="N212" i="1" s="1"/>
  <c r="O212" i="1" s="1"/>
  <c r="I213" i="1"/>
  <c r="J213" i="1"/>
  <c r="M213" i="1" s="1"/>
  <c r="N213" i="1" s="1"/>
  <c r="O213" i="1" s="1"/>
  <c r="K213" i="1"/>
  <c r="L213" i="1"/>
  <c r="I214" i="1"/>
  <c r="J214" i="1"/>
  <c r="M214" i="1" s="1"/>
  <c r="N214" i="1" s="1"/>
  <c r="O214" i="1" s="1"/>
  <c r="K214" i="1"/>
  <c r="L214" i="1"/>
  <c r="I215" i="1"/>
  <c r="J215" i="1"/>
  <c r="M215" i="1" s="1"/>
  <c r="K215" i="1"/>
  <c r="L215" i="1"/>
  <c r="N215" i="1" s="1"/>
  <c r="O215" i="1" s="1"/>
  <c r="I216" i="1"/>
  <c r="J216" i="1"/>
  <c r="K216" i="1"/>
  <c r="L216" i="1"/>
  <c r="M216" i="1"/>
  <c r="N216" i="1"/>
  <c r="O216" i="1"/>
  <c r="I217" i="1"/>
  <c r="J217" i="1"/>
  <c r="M217" i="1" s="1"/>
  <c r="N217" i="1" s="1"/>
  <c r="O217" i="1" s="1"/>
  <c r="K217" i="1"/>
  <c r="L217" i="1"/>
  <c r="I218" i="1"/>
  <c r="J218" i="1"/>
  <c r="K218" i="1"/>
  <c r="L218" i="1"/>
  <c r="M218" i="1"/>
  <c r="I219" i="1"/>
  <c r="J219" i="1"/>
  <c r="M219" i="1" s="1"/>
  <c r="K219" i="1"/>
  <c r="L219" i="1"/>
  <c r="I220" i="1"/>
  <c r="J220" i="1"/>
  <c r="K220" i="1"/>
  <c r="L220" i="1"/>
  <c r="M220" i="1"/>
  <c r="N220" i="1" s="1"/>
  <c r="O220" i="1" s="1"/>
  <c r="I221" i="1"/>
  <c r="J221" i="1"/>
  <c r="M221" i="1" s="1"/>
  <c r="N221" i="1" s="1"/>
  <c r="O221" i="1" s="1"/>
  <c r="K221" i="1"/>
  <c r="L221" i="1"/>
  <c r="I222" i="1"/>
  <c r="J222" i="1"/>
  <c r="M222" i="1" s="1"/>
  <c r="K222" i="1"/>
  <c r="L222" i="1"/>
  <c r="I223" i="1"/>
  <c r="J223" i="1"/>
  <c r="K223" i="1"/>
  <c r="L223" i="1"/>
  <c r="M223" i="1"/>
  <c r="N223" i="1"/>
  <c r="O223" i="1" s="1"/>
  <c r="I224" i="1"/>
  <c r="J224" i="1"/>
  <c r="K224" i="1"/>
  <c r="L224" i="1"/>
  <c r="M224" i="1"/>
  <c r="N224" i="1" s="1"/>
  <c r="O224" i="1" s="1"/>
  <c r="I225" i="1"/>
  <c r="J225" i="1"/>
  <c r="M225" i="1" s="1"/>
  <c r="K225" i="1"/>
  <c r="L225" i="1"/>
  <c r="N225" i="1" s="1"/>
  <c r="O225" i="1" s="1"/>
  <c r="I226" i="1"/>
  <c r="J226" i="1"/>
  <c r="M226" i="1" s="1"/>
  <c r="N226" i="1" s="1"/>
  <c r="O226" i="1" s="1"/>
  <c r="K226" i="1"/>
  <c r="L226" i="1"/>
  <c r="I227" i="1"/>
  <c r="J227" i="1"/>
  <c r="M227" i="1" s="1"/>
  <c r="K227" i="1"/>
  <c r="L227" i="1"/>
  <c r="I228" i="1"/>
  <c r="J228" i="1"/>
  <c r="K228" i="1"/>
  <c r="L228" i="1"/>
  <c r="M228" i="1"/>
  <c r="N228" i="1"/>
  <c r="O228" i="1"/>
  <c r="I229" i="1"/>
  <c r="J229" i="1"/>
  <c r="M229" i="1" s="1"/>
  <c r="N229" i="1" s="1"/>
  <c r="O229" i="1" s="1"/>
  <c r="K229" i="1"/>
  <c r="L229" i="1"/>
  <c r="I230" i="1"/>
  <c r="J230" i="1"/>
  <c r="K230" i="1"/>
  <c r="L230" i="1"/>
  <c r="N230" i="1" s="1"/>
  <c r="O230" i="1" s="1"/>
  <c r="M230" i="1"/>
  <c r="I231" i="1"/>
  <c r="J231" i="1"/>
  <c r="K231" i="1"/>
  <c r="L231" i="1"/>
  <c r="N231" i="1" s="1"/>
  <c r="O231" i="1" s="1"/>
  <c r="M231" i="1"/>
  <c r="I232" i="1"/>
  <c r="J232" i="1"/>
  <c r="K232" i="1"/>
  <c r="L232" i="1"/>
  <c r="M232" i="1"/>
  <c r="I233" i="1"/>
  <c r="J233" i="1"/>
  <c r="M233" i="1" s="1"/>
  <c r="N233" i="1" s="1"/>
  <c r="O233" i="1" s="1"/>
  <c r="K233" i="1"/>
  <c r="L233" i="1"/>
  <c r="I234" i="1"/>
  <c r="J234" i="1"/>
  <c r="M234" i="1" s="1"/>
  <c r="N234" i="1" s="1"/>
  <c r="O234" i="1" s="1"/>
  <c r="K234" i="1"/>
  <c r="L234" i="1"/>
  <c r="I235" i="1"/>
  <c r="J235" i="1"/>
  <c r="K235" i="1"/>
  <c r="L235" i="1"/>
  <c r="M235" i="1"/>
  <c r="N235" i="1"/>
  <c r="O235" i="1" s="1"/>
  <c r="I236" i="1"/>
  <c r="J236" i="1"/>
  <c r="K236" i="1"/>
  <c r="L236" i="1"/>
  <c r="M236" i="1"/>
  <c r="N236" i="1" s="1"/>
  <c r="O236" i="1" s="1"/>
  <c r="I237" i="1"/>
  <c r="J237" i="1"/>
  <c r="M237" i="1" s="1"/>
  <c r="K237" i="1"/>
  <c r="L237" i="1"/>
  <c r="N237" i="1"/>
  <c r="O237" i="1" s="1"/>
  <c r="I238" i="1"/>
  <c r="J238" i="1"/>
  <c r="M238" i="1" s="1"/>
  <c r="N238" i="1" s="1"/>
  <c r="O238" i="1" s="1"/>
  <c r="K238" i="1"/>
  <c r="L238" i="1"/>
  <c r="I239" i="1"/>
  <c r="J239" i="1"/>
  <c r="M239" i="1" s="1"/>
  <c r="K239" i="1"/>
  <c r="L239" i="1"/>
  <c r="I240" i="1"/>
  <c r="J240" i="1"/>
  <c r="K240" i="1"/>
  <c r="L240" i="1"/>
  <c r="M240" i="1"/>
  <c r="N240" i="1"/>
  <c r="O240" i="1"/>
  <c r="I241" i="1"/>
  <c r="J241" i="1"/>
  <c r="M241" i="1" s="1"/>
  <c r="N241" i="1" s="1"/>
  <c r="O241" i="1" s="1"/>
  <c r="K241" i="1"/>
  <c r="L241" i="1"/>
  <c r="I242" i="1"/>
  <c r="J242" i="1"/>
  <c r="K242" i="1"/>
  <c r="L242" i="1"/>
  <c r="M242" i="1"/>
  <c r="I243" i="1"/>
  <c r="J243" i="1"/>
  <c r="K243" i="1"/>
  <c r="L243" i="1"/>
  <c r="N243" i="1" s="1"/>
  <c r="O243" i="1" s="1"/>
  <c r="M243" i="1"/>
  <c r="I244" i="1"/>
  <c r="J244" i="1"/>
  <c r="K244" i="1"/>
  <c r="L244" i="1"/>
  <c r="M244" i="1"/>
  <c r="I245" i="1"/>
  <c r="J245" i="1"/>
  <c r="M245" i="1" s="1"/>
  <c r="N245" i="1" s="1"/>
  <c r="O245" i="1" s="1"/>
  <c r="K245" i="1"/>
  <c r="L245" i="1"/>
  <c r="I246" i="1"/>
  <c r="J246" i="1"/>
  <c r="M246" i="1" s="1"/>
  <c r="N246" i="1" s="1"/>
  <c r="O246" i="1" s="1"/>
  <c r="K246" i="1"/>
  <c r="L246" i="1"/>
  <c r="I247" i="1"/>
  <c r="J247" i="1"/>
  <c r="K247" i="1"/>
  <c r="L247" i="1"/>
  <c r="M247" i="1"/>
  <c r="N247" i="1"/>
  <c r="O247" i="1" s="1"/>
  <c r="I248" i="1"/>
  <c r="J248" i="1"/>
  <c r="K248" i="1"/>
  <c r="L248" i="1"/>
  <c r="N248" i="1" s="1"/>
  <c r="O248" i="1" s="1"/>
  <c r="M248" i="1"/>
  <c r="I249" i="1"/>
  <c r="J249" i="1"/>
  <c r="M249" i="1" s="1"/>
  <c r="K249" i="1"/>
  <c r="L249" i="1"/>
  <c r="N249" i="1"/>
  <c r="O249" i="1" s="1"/>
  <c r="I250" i="1"/>
  <c r="J250" i="1"/>
  <c r="M250" i="1" s="1"/>
  <c r="N250" i="1" s="1"/>
  <c r="O250" i="1" s="1"/>
  <c r="K250" i="1"/>
  <c r="L250" i="1"/>
  <c r="I251" i="1"/>
  <c r="J251" i="1"/>
  <c r="M251" i="1" s="1"/>
  <c r="K251" i="1"/>
  <c r="L251" i="1"/>
  <c r="I252" i="1"/>
  <c r="J252" i="1"/>
  <c r="K252" i="1"/>
  <c r="L252" i="1"/>
  <c r="M252" i="1"/>
  <c r="N252" i="1"/>
  <c r="O252" i="1"/>
  <c r="I253" i="1"/>
  <c r="J253" i="1"/>
  <c r="M253" i="1" s="1"/>
  <c r="N253" i="1" s="1"/>
  <c r="O253" i="1" s="1"/>
  <c r="K253" i="1"/>
  <c r="L253" i="1"/>
  <c r="I254" i="1"/>
  <c r="J254" i="1"/>
  <c r="K254" i="1"/>
  <c r="L254" i="1"/>
  <c r="M254" i="1"/>
  <c r="I255" i="1"/>
  <c r="J255" i="1"/>
  <c r="M255" i="1" s="1"/>
  <c r="K255" i="1"/>
  <c r="L255" i="1"/>
  <c r="N255" i="1" s="1"/>
  <c r="O255" i="1" s="1"/>
  <c r="I256" i="1"/>
  <c r="J256" i="1"/>
  <c r="K256" i="1"/>
  <c r="L256" i="1"/>
  <c r="N256" i="1" s="1"/>
  <c r="O256" i="1" s="1"/>
  <c r="M256" i="1"/>
  <c r="I257" i="1"/>
  <c r="J257" i="1"/>
  <c r="M257" i="1" s="1"/>
  <c r="N257" i="1" s="1"/>
  <c r="O257" i="1" s="1"/>
  <c r="K257" i="1"/>
  <c r="L257" i="1"/>
  <c r="I258" i="1"/>
  <c r="J258" i="1"/>
  <c r="M258" i="1" s="1"/>
  <c r="N258" i="1" s="1"/>
  <c r="O258" i="1" s="1"/>
  <c r="K258" i="1"/>
  <c r="L258" i="1"/>
  <c r="I259" i="1"/>
  <c r="J259" i="1"/>
  <c r="K259" i="1"/>
  <c r="L259" i="1"/>
  <c r="M259" i="1"/>
  <c r="N259" i="1"/>
  <c r="O259" i="1" s="1"/>
  <c r="I260" i="1"/>
  <c r="J260" i="1"/>
  <c r="K260" i="1"/>
  <c r="L260" i="1"/>
  <c r="N260" i="1" s="1"/>
  <c r="O260" i="1" s="1"/>
  <c r="M260" i="1"/>
  <c r="I261" i="1"/>
  <c r="J261" i="1"/>
  <c r="M261" i="1" s="1"/>
  <c r="K261" i="1"/>
  <c r="L261" i="1"/>
  <c r="N261" i="1" s="1"/>
  <c r="O261" i="1" s="1"/>
  <c r="I262" i="1"/>
  <c r="J262" i="1"/>
  <c r="M262" i="1" s="1"/>
  <c r="N262" i="1" s="1"/>
  <c r="O262" i="1" s="1"/>
  <c r="K262" i="1"/>
  <c r="L262" i="1"/>
  <c r="I263" i="1"/>
  <c r="J263" i="1"/>
  <c r="M263" i="1" s="1"/>
  <c r="K263" i="1"/>
  <c r="L263" i="1"/>
  <c r="N263" i="1" s="1"/>
  <c r="O263" i="1" s="1"/>
  <c r="I264" i="1"/>
  <c r="J264" i="1"/>
  <c r="K264" i="1"/>
  <c r="L264" i="1"/>
  <c r="M264" i="1"/>
  <c r="N264" i="1"/>
  <c r="O264" i="1"/>
  <c r="I265" i="1"/>
  <c r="J265" i="1"/>
  <c r="M265" i="1" s="1"/>
  <c r="N265" i="1" s="1"/>
  <c r="O265" i="1" s="1"/>
  <c r="K265" i="1"/>
  <c r="L265" i="1"/>
  <c r="I266" i="1"/>
  <c r="J266" i="1"/>
  <c r="K266" i="1"/>
  <c r="L266" i="1"/>
  <c r="M266" i="1"/>
  <c r="N266" i="1" s="1"/>
  <c r="O266" i="1" s="1"/>
  <c r="I267" i="1"/>
  <c r="J267" i="1"/>
  <c r="M267" i="1" s="1"/>
  <c r="K267" i="1"/>
  <c r="L267" i="1"/>
  <c r="I268" i="1"/>
  <c r="J268" i="1"/>
  <c r="K268" i="1"/>
  <c r="L268" i="1"/>
  <c r="N268" i="1" s="1"/>
  <c r="O268" i="1" s="1"/>
  <c r="M268" i="1"/>
  <c r="I269" i="1"/>
  <c r="J269" i="1"/>
  <c r="M269" i="1" s="1"/>
  <c r="N269" i="1" s="1"/>
  <c r="O269" i="1" s="1"/>
  <c r="K269" i="1"/>
  <c r="L269" i="1"/>
  <c r="I270" i="1"/>
  <c r="J270" i="1"/>
  <c r="M270" i="1" s="1"/>
  <c r="N270" i="1" s="1"/>
  <c r="O270" i="1" s="1"/>
  <c r="K270" i="1"/>
  <c r="L270" i="1"/>
  <c r="I271" i="1"/>
  <c r="J271" i="1"/>
  <c r="K271" i="1"/>
  <c r="L271" i="1"/>
  <c r="M271" i="1"/>
  <c r="N271" i="1"/>
  <c r="O271" i="1" s="1"/>
  <c r="I272" i="1"/>
  <c r="J272" i="1"/>
  <c r="K272" i="1"/>
  <c r="L272" i="1"/>
  <c r="N272" i="1" s="1"/>
  <c r="O272" i="1" s="1"/>
  <c r="M272" i="1"/>
  <c r="I273" i="1"/>
  <c r="J273" i="1"/>
  <c r="M273" i="1" s="1"/>
  <c r="K273" i="1"/>
  <c r="L273" i="1"/>
  <c r="N273" i="1" s="1"/>
  <c r="O273" i="1" s="1"/>
  <c r="I274" i="1"/>
  <c r="J274" i="1"/>
  <c r="M274" i="1" s="1"/>
  <c r="N274" i="1" s="1"/>
  <c r="O274" i="1" s="1"/>
  <c r="K274" i="1"/>
  <c r="L274" i="1"/>
  <c r="I275" i="1"/>
  <c r="J275" i="1"/>
  <c r="M275" i="1" s="1"/>
  <c r="K275" i="1"/>
  <c r="L275" i="1"/>
  <c r="I276" i="1"/>
  <c r="J276" i="1"/>
  <c r="K276" i="1"/>
  <c r="L276" i="1"/>
  <c r="M276" i="1"/>
  <c r="N276" i="1"/>
  <c r="O276" i="1"/>
  <c r="I277" i="1"/>
  <c r="J277" i="1"/>
  <c r="M277" i="1" s="1"/>
  <c r="N277" i="1" s="1"/>
  <c r="O277" i="1" s="1"/>
  <c r="K277" i="1"/>
  <c r="L277" i="1"/>
  <c r="I278" i="1"/>
  <c r="J278" i="1"/>
  <c r="K278" i="1"/>
  <c r="L278" i="1"/>
  <c r="M278" i="1"/>
  <c r="N278" i="1" s="1"/>
  <c r="O278" i="1" s="1"/>
  <c r="I279" i="1"/>
  <c r="J279" i="1"/>
  <c r="M279" i="1" s="1"/>
  <c r="K279" i="1"/>
  <c r="L279" i="1"/>
  <c r="N279" i="1" s="1"/>
  <c r="O279" i="1" s="1"/>
  <c r="I280" i="1"/>
  <c r="J280" i="1"/>
  <c r="K280" i="1"/>
  <c r="L280" i="1"/>
  <c r="M280" i="1"/>
  <c r="I281" i="1"/>
  <c r="J281" i="1"/>
  <c r="K281" i="1"/>
  <c r="L281" i="1"/>
  <c r="M281" i="1"/>
  <c r="N281" i="1"/>
  <c r="O281" i="1" s="1"/>
  <c r="I282" i="1"/>
  <c r="J282" i="1"/>
  <c r="M282" i="1" s="1"/>
  <c r="N282" i="1" s="1"/>
  <c r="O282" i="1" s="1"/>
  <c r="K282" i="1"/>
  <c r="L282" i="1"/>
  <c r="I283" i="1"/>
  <c r="J283" i="1"/>
  <c r="K283" i="1"/>
  <c r="L283" i="1"/>
  <c r="M283" i="1"/>
  <c r="N283" i="1"/>
  <c r="O283" i="1" s="1"/>
  <c r="I284" i="1"/>
  <c r="J284" i="1"/>
  <c r="K284" i="1"/>
  <c r="L284" i="1"/>
  <c r="N284" i="1" s="1"/>
  <c r="O284" i="1" s="1"/>
  <c r="M284" i="1"/>
  <c r="I285" i="1"/>
  <c r="J285" i="1"/>
  <c r="M285" i="1" s="1"/>
  <c r="K285" i="1"/>
  <c r="L285" i="1"/>
  <c r="N285" i="1" s="1"/>
  <c r="O285" i="1" s="1"/>
  <c r="I286" i="1"/>
  <c r="J286" i="1"/>
  <c r="M286" i="1" s="1"/>
  <c r="N286" i="1" s="1"/>
  <c r="O286" i="1" s="1"/>
  <c r="K286" i="1"/>
  <c r="L286" i="1"/>
  <c r="I287" i="1"/>
  <c r="J287" i="1"/>
  <c r="M287" i="1" s="1"/>
  <c r="K287" i="1"/>
  <c r="L287" i="1"/>
  <c r="I288" i="1"/>
  <c r="J288" i="1"/>
  <c r="K288" i="1"/>
  <c r="L288" i="1"/>
  <c r="N288" i="1" s="1"/>
  <c r="O288" i="1" s="1"/>
  <c r="M288" i="1"/>
  <c r="I289" i="1"/>
  <c r="J289" i="1"/>
  <c r="M289" i="1" s="1"/>
  <c r="N289" i="1" s="1"/>
  <c r="O289" i="1" s="1"/>
  <c r="K289" i="1"/>
  <c r="L289" i="1"/>
  <c r="I290" i="1"/>
  <c r="J290" i="1"/>
  <c r="K290" i="1"/>
  <c r="L290" i="1"/>
  <c r="M290" i="1"/>
  <c r="N290" i="1" s="1"/>
  <c r="O290" i="1" s="1"/>
  <c r="I291" i="1"/>
  <c r="J291" i="1"/>
  <c r="M291" i="1" s="1"/>
  <c r="K291" i="1"/>
  <c r="L291" i="1"/>
  <c r="N291" i="1" s="1"/>
  <c r="O291" i="1" s="1"/>
  <c r="I292" i="1"/>
  <c r="J292" i="1"/>
  <c r="K292" i="1"/>
  <c r="L292" i="1"/>
  <c r="M292" i="1"/>
  <c r="I293" i="1"/>
  <c r="J293" i="1"/>
  <c r="M293" i="1" s="1"/>
  <c r="N293" i="1" s="1"/>
  <c r="O293" i="1" s="1"/>
  <c r="K293" i="1"/>
  <c r="L293" i="1"/>
  <c r="I294" i="1"/>
  <c r="J294" i="1"/>
  <c r="M294" i="1" s="1"/>
  <c r="N294" i="1" s="1"/>
  <c r="O294" i="1" s="1"/>
  <c r="K294" i="1"/>
  <c r="L294" i="1"/>
  <c r="I295" i="1"/>
  <c r="J295" i="1"/>
  <c r="K295" i="1"/>
  <c r="L295" i="1"/>
  <c r="M295" i="1"/>
  <c r="N295" i="1"/>
  <c r="O295" i="1" s="1"/>
  <c r="I296" i="1"/>
  <c r="J296" i="1"/>
  <c r="K296" i="1"/>
  <c r="L296" i="1"/>
  <c r="N296" i="1" s="1"/>
  <c r="O296" i="1" s="1"/>
  <c r="M296" i="1"/>
  <c r="I297" i="1"/>
  <c r="J297" i="1"/>
  <c r="M297" i="1" s="1"/>
  <c r="N297" i="1" s="1"/>
  <c r="O297" i="1" s="1"/>
  <c r="K297" i="1"/>
  <c r="L297" i="1"/>
  <c r="I298" i="1"/>
  <c r="J298" i="1"/>
  <c r="M298" i="1" s="1"/>
  <c r="N298" i="1" s="1"/>
  <c r="O298" i="1" s="1"/>
  <c r="K298" i="1"/>
  <c r="L298" i="1"/>
  <c r="I299" i="1"/>
  <c r="J299" i="1"/>
  <c r="M299" i="1" s="1"/>
  <c r="K299" i="1"/>
  <c r="L299" i="1"/>
  <c r="N299" i="1" s="1"/>
  <c r="O299" i="1" s="1"/>
  <c r="I300" i="1"/>
  <c r="J300" i="1"/>
  <c r="K300" i="1"/>
  <c r="L300" i="1"/>
  <c r="N300" i="1" s="1"/>
  <c r="M300" i="1"/>
  <c r="O300" i="1"/>
  <c r="I301" i="1"/>
  <c r="J301" i="1"/>
  <c r="M301" i="1" s="1"/>
  <c r="N301" i="1" s="1"/>
  <c r="O301" i="1" s="1"/>
  <c r="K301" i="1"/>
  <c r="L301" i="1"/>
  <c r="I302" i="1"/>
  <c r="J302" i="1"/>
  <c r="K302" i="1"/>
  <c r="L302" i="1"/>
  <c r="M302" i="1"/>
  <c r="N302" i="1" s="1"/>
  <c r="O302" i="1"/>
  <c r="I303" i="1"/>
  <c r="J303" i="1"/>
  <c r="M303" i="1" s="1"/>
  <c r="K303" i="1"/>
  <c r="L303" i="1"/>
  <c r="I304" i="1"/>
  <c r="J304" i="1"/>
  <c r="K304" i="1"/>
  <c r="L304" i="1"/>
  <c r="M304" i="1"/>
  <c r="I305" i="1"/>
  <c r="J305" i="1"/>
  <c r="K305" i="1"/>
  <c r="L305" i="1"/>
  <c r="M305" i="1"/>
  <c r="N305" i="1"/>
  <c r="O305" i="1" s="1"/>
  <c r="I306" i="1"/>
  <c r="J306" i="1"/>
  <c r="M306" i="1" s="1"/>
  <c r="N306" i="1" s="1"/>
  <c r="O306" i="1" s="1"/>
  <c r="K306" i="1"/>
  <c r="L306" i="1"/>
  <c r="I307" i="1"/>
  <c r="J307" i="1"/>
  <c r="K307" i="1"/>
  <c r="L307" i="1"/>
  <c r="M307" i="1"/>
  <c r="N307" i="1"/>
  <c r="O307" i="1" s="1"/>
  <c r="I308" i="1"/>
  <c r="J308" i="1"/>
  <c r="K308" i="1"/>
  <c r="L308" i="1"/>
  <c r="N308" i="1" s="1"/>
  <c r="O308" i="1" s="1"/>
  <c r="M308" i="1"/>
  <c r="I309" i="1"/>
  <c r="J309" i="1"/>
  <c r="M309" i="1" s="1"/>
  <c r="N309" i="1" s="1"/>
  <c r="O309" i="1" s="1"/>
  <c r="K309" i="1"/>
  <c r="L309" i="1"/>
  <c r="I310" i="1"/>
  <c r="J310" i="1"/>
  <c r="M310" i="1" s="1"/>
  <c r="N310" i="1" s="1"/>
  <c r="O310" i="1" s="1"/>
  <c r="K310" i="1"/>
  <c r="L310" i="1"/>
  <c r="I311" i="1"/>
  <c r="J311" i="1"/>
  <c r="M311" i="1" s="1"/>
  <c r="K311" i="1"/>
  <c r="L311" i="1"/>
  <c r="N311" i="1" s="1"/>
  <c r="O311" i="1" s="1"/>
  <c r="I312" i="1"/>
  <c r="J312" i="1"/>
  <c r="K312" i="1"/>
  <c r="L312" i="1"/>
  <c r="N312" i="1" s="1"/>
  <c r="M312" i="1"/>
  <c r="O312" i="1"/>
  <c r="I313" i="1"/>
  <c r="J313" i="1"/>
  <c r="M313" i="1" s="1"/>
  <c r="N313" i="1" s="1"/>
  <c r="O313" i="1" s="1"/>
  <c r="K313" i="1"/>
  <c r="L313" i="1"/>
  <c r="I314" i="1"/>
  <c r="J314" i="1"/>
  <c r="K314" i="1"/>
  <c r="L314" i="1"/>
  <c r="M314" i="1"/>
  <c r="N314" i="1" s="1"/>
  <c r="O314" i="1"/>
  <c r="I315" i="1"/>
  <c r="J315" i="1"/>
  <c r="M315" i="1" s="1"/>
  <c r="N315" i="1" s="1"/>
  <c r="O315" i="1" s="1"/>
  <c r="K315" i="1"/>
  <c r="L315" i="1"/>
  <c r="I316" i="1"/>
  <c r="J316" i="1"/>
  <c r="K316" i="1"/>
  <c r="L316" i="1"/>
  <c r="M316" i="1"/>
  <c r="I317" i="1"/>
  <c r="J317" i="1"/>
  <c r="K317" i="1"/>
  <c r="L317" i="1"/>
  <c r="M317" i="1"/>
  <c r="N317" i="1"/>
  <c r="O317" i="1" s="1"/>
  <c r="I318" i="1"/>
  <c r="J318" i="1"/>
  <c r="M318" i="1" s="1"/>
  <c r="N318" i="1" s="1"/>
  <c r="O318" i="1" s="1"/>
  <c r="K318" i="1"/>
  <c r="L318" i="1"/>
  <c r="I319" i="1"/>
  <c r="J319" i="1"/>
  <c r="M319" i="1" s="1"/>
  <c r="N319" i="1" s="1"/>
  <c r="O319" i="1" s="1"/>
  <c r="K319" i="1"/>
  <c r="L319" i="1"/>
  <c r="I320" i="1"/>
  <c r="J320" i="1"/>
  <c r="K320" i="1"/>
  <c r="L320" i="1"/>
  <c r="N320" i="1" s="1"/>
  <c r="O320" i="1" s="1"/>
  <c r="M320" i="1"/>
  <c r="I321" i="1"/>
  <c r="J321" i="1"/>
  <c r="M321" i="1" s="1"/>
  <c r="K321" i="1"/>
  <c r="L321" i="1"/>
  <c r="N321" i="1"/>
  <c r="O321" i="1" s="1"/>
  <c r="I322" i="1"/>
  <c r="J322" i="1"/>
  <c r="K322" i="1"/>
  <c r="L322" i="1"/>
  <c r="M322" i="1"/>
  <c r="N322" i="1"/>
  <c r="O322" i="1" s="1"/>
  <c r="I323" i="1"/>
  <c r="J323" i="1"/>
  <c r="M323" i="1" s="1"/>
  <c r="K323" i="1"/>
  <c r="L323" i="1"/>
  <c r="N323" i="1" s="1"/>
  <c r="O323" i="1" s="1"/>
  <c r="I324" i="1"/>
  <c r="J324" i="1"/>
  <c r="K324" i="1"/>
  <c r="L324" i="1"/>
  <c r="M324" i="1"/>
  <c r="N324" i="1"/>
  <c r="O324" i="1"/>
  <c r="I325" i="1"/>
  <c r="J325" i="1"/>
  <c r="M325" i="1" s="1"/>
  <c r="N325" i="1" s="1"/>
  <c r="O325" i="1" s="1"/>
  <c r="K325" i="1"/>
  <c r="L325" i="1"/>
  <c r="I326" i="1"/>
  <c r="J326" i="1"/>
  <c r="K326" i="1"/>
  <c r="L326" i="1"/>
  <c r="M326" i="1"/>
  <c r="N326" i="1" s="1"/>
  <c r="O326" i="1"/>
  <c r="I327" i="1"/>
  <c r="J327" i="1"/>
  <c r="M327" i="1" s="1"/>
  <c r="N327" i="1" s="1"/>
  <c r="O327" i="1" s="1"/>
  <c r="K327" i="1"/>
  <c r="L327" i="1"/>
  <c r="I328" i="1"/>
  <c r="J328" i="1"/>
  <c r="K328" i="1"/>
  <c r="L328" i="1"/>
  <c r="M328" i="1"/>
  <c r="I329" i="1"/>
  <c r="J329" i="1"/>
  <c r="M329" i="1" s="1"/>
  <c r="N329" i="1" s="1"/>
  <c r="O329" i="1" s="1"/>
  <c r="K329" i="1"/>
  <c r="L329" i="1"/>
  <c r="I330" i="1"/>
  <c r="J330" i="1"/>
  <c r="M330" i="1" s="1"/>
  <c r="N330" i="1" s="1"/>
  <c r="O330" i="1" s="1"/>
  <c r="K330" i="1"/>
  <c r="L330" i="1"/>
  <c r="I331" i="1"/>
  <c r="J331" i="1"/>
  <c r="M331" i="1" s="1"/>
  <c r="N331" i="1" s="1"/>
  <c r="O331" i="1" s="1"/>
  <c r="K331" i="1"/>
  <c r="L331" i="1"/>
  <c r="I332" i="1"/>
  <c r="J332" i="1"/>
  <c r="M332" i="1" s="1"/>
  <c r="N332" i="1" s="1"/>
  <c r="O332" i="1" s="1"/>
  <c r="K332" i="1"/>
  <c r="L332" i="1"/>
  <c r="I333" i="1"/>
  <c r="J333" i="1"/>
  <c r="M333" i="1" s="1"/>
  <c r="K333" i="1"/>
  <c r="L333" i="1"/>
  <c r="N333" i="1"/>
  <c r="O333" i="1" s="1"/>
  <c r="I334" i="1"/>
  <c r="J334" i="1"/>
  <c r="M334" i="1" s="1"/>
  <c r="N334" i="1" s="1"/>
  <c r="O334" i="1" s="1"/>
  <c r="K334" i="1"/>
  <c r="L334" i="1"/>
  <c r="I335" i="1"/>
  <c r="J335" i="1"/>
  <c r="M335" i="1" s="1"/>
  <c r="K335" i="1"/>
  <c r="L335" i="1"/>
  <c r="I336" i="1"/>
  <c r="J336" i="1"/>
  <c r="M336" i="1" s="1"/>
  <c r="N336" i="1" s="1"/>
  <c r="K336" i="1"/>
  <c r="L336" i="1"/>
  <c r="O336" i="1"/>
  <c r="I337" i="1"/>
  <c r="J337" i="1"/>
  <c r="M337" i="1" s="1"/>
  <c r="N337" i="1" s="1"/>
  <c r="O337" i="1" s="1"/>
  <c r="K337" i="1"/>
  <c r="L337" i="1"/>
  <c r="I338" i="1"/>
  <c r="J338" i="1"/>
  <c r="K338" i="1"/>
  <c r="L338" i="1"/>
  <c r="M338" i="1"/>
  <c r="N338" i="1" s="1"/>
  <c r="O338" i="1" s="1"/>
  <c r="I339" i="1"/>
  <c r="J339" i="1"/>
  <c r="M339" i="1" s="1"/>
  <c r="N339" i="1" s="1"/>
  <c r="O339" i="1" s="1"/>
  <c r="K339" i="1"/>
  <c r="L339" i="1"/>
  <c r="I340" i="1"/>
  <c r="J340" i="1"/>
  <c r="K340" i="1"/>
  <c r="L340" i="1"/>
  <c r="M340" i="1"/>
  <c r="N340" i="1" s="1"/>
  <c r="O340" i="1" s="1"/>
  <c r="I341" i="1"/>
  <c r="J341" i="1"/>
  <c r="M341" i="1" s="1"/>
  <c r="K341" i="1"/>
  <c r="L341" i="1"/>
  <c r="N341" i="1"/>
  <c r="O341" i="1" s="1"/>
  <c r="I342" i="1"/>
  <c r="J342" i="1"/>
  <c r="M342" i="1" s="1"/>
  <c r="K342" i="1"/>
  <c r="L342" i="1"/>
  <c r="N342" i="1"/>
  <c r="O342" i="1" s="1"/>
  <c r="I343" i="1"/>
  <c r="J343" i="1"/>
  <c r="M343" i="1" s="1"/>
  <c r="K343" i="1"/>
  <c r="L343" i="1"/>
  <c r="N343" i="1"/>
  <c r="O343" i="1" s="1"/>
  <c r="I344" i="1"/>
  <c r="J344" i="1"/>
  <c r="K344" i="1"/>
  <c r="L344" i="1"/>
  <c r="N344" i="1" s="1"/>
  <c r="O344" i="1" s="1"/>
  <c r="M344" i="1"/>
  <c r="I345" i="1"/>
  <c r="J345" i="1"/>
  <c r="K345" i="1"/>
  <c r="L345" i="1"/>
  <c r="M345" i="1"/>
  <c r="I346" i="1"/>
  <c r="J346" i="1"/>
  <c r="M346" i="1" s="1"/>
  <c r="K346" i="1"/>
  <c r="L346" i="1"/>
  <c r="N346" i="1" s="1"/>
  <c r="O346" i="1" s="1"/>
  <c r="I347" i="1"/>
  <c r="J347" i="1"/>
  <c r="M347" i="1" s="1"/>
  <c r="N347" i="1" s="1"/>
  <c r="O347" i="1" s="1"/>
  <c r="K347" i="1"/>
  <c r="L347" i="1"/>
  <c r="I348" i="1"/>
  <c r="J348" i="1"/>
  <c r="M348" i="1" s="1"/>
  <c r="N348" i="1" s="1"/>
  <c r="K348" i="1"/>
  <c r="L348" i="1"/>
  <c r="O348" i="1"/>
  <c r="I349" i="1"/>
  <c r="J349" i="1"/>
  <c r="K349" i="1"/>
  <c r="L349" i="1"/>
  <c r="M349" i="1"/>
  <c r="N349" i="1"/>
  <c r="O349" i="1" s="1"/>
  <c r="I350" i="1"/>
  <c r="J350" i="1"/>
  <c r="K350" i="1"/>
  <c r="L350" i="1"/>
  <c r="M350" i="1"/>
  <c r="N350" i="1" s="1"/>
  <c r="O350" i="1" s="1"/>
  <c r="I351" i="1"/>
  <c r="J351" i="1"/>
  <c r="M351" i="1" s="1"/>
  <c r="K351" i="1"/>
  <c r="L351" i="1"/>
  <c r="I352" i="1"/>
  <c r="J352" i="1"/>
  <c r="M352" i="1" s="1"/>
  <c r="K352" i="1"/>
  <c r="L352" i="1"/>
  <c r="I353" i="1"/>
  <c r="J353" i="1"/>
  <c r="M353" i="1" s="1"/>
  <c r="K353" i="1"/>
  <c r="L353" i="1"/>
  <c r="N353" i="1" s="1"/>
  <c r="O353" i="1" s="1"/>
  <c r="I354" i="1"/>
  <c r="J354" i="1"/>
  <c r="M354" i="1" s="1"/>
  <c r="N354" i="1" s="1"/>
  <c r="O354" i="1" s="1"/>
  <c r="K354" i="1"/>
  <c r="L354" i="1"/>
  <c r="I355" i="1"/>
  <c r="J355" i="1"/>
  <c r="K355" i="1"/>
  <c r="L355" i="1"/>
  <c r="M355" i="1"/>
  <c r="N355" i="1"/>
  <c r="O355" i="1"/>
  <c r="I356" i="1"/>
  <c r="J356" i="1"/>
  <c r="K356" i="1"/>
  <c r="L356" i="1"/>
  <c r="N356" i="1" s="1"/>
  <c r="O356" i="1" s="1"/>
  <c r="M356" i="1"/>
  <c r="I357" i="1"/>
  <c r="J357" i="1"/>
  <c r="K357" i="1"/>
  <c r="L357" i="1"/>
  <c r="M357" i="1"/>
  <c r="I358" i="1"/>
  <c r="J358" i="1"/>
  <c r="M358" i="1" s="1"/>
  <c r="K358" i="1"/>
  <c r="L358" i="1"/>
  <c r="I359" i="1"/>
  <c r="J359" i="1"/>
  <c r="M359" i="1" s="1"/>
  <c r="N359" i="1" s="1"/>
  <c r="O359" i="1" s="1"/>
  <c r="K359" i="1"/>
  <c r="L359" i="1"/>
  <c r="I360" i="1"/>
  <c r="J360" i="1"/>
  <c r="M360" i="1" s="1"/>
  <c r="N360" i="1" s="1"/>
  <c r="O360" i="1" s="1"/>
  <c r="K360" i="1"/>
  <c r="L360" i="1"/>
  <c r="I361" i="1"/>
  <c r="J361" i="1"/>
  <c r="K361" i="1"/>
  <c r="L361" i="1"/>
  <c r="M361" i="1"/>
  <c r="N361" i="1"/>
  <c r="O361" i="1" s="1"/>
  <c r="I362" i="1"/>
  <c r="J362" i="1"/>
  <c r="K362" i="1"/>
  <c r="L362" i="1"/>
  <c r="M362" i="1"/>
  <c r="N362" i="1" s="1"/>
  <c r="O362" i="1" s="1"/>
  <c r="I363" i="1"/>
  <c r="J363" i="1"/>
  <c r="M363" i="1" s="1"/>
  <c r="K363" i="1"/>
  <c r="L363" i="1"/>
  <c r="I364" i="1"/>
  <c r="J364" i="1"/>
  <c r="M364" i="1" s="1"/>
  <c r="K364" i="1"/>
  <c r="L364" i="1"/>
  <c r="N364" i="1" s="1"/>
  <c r="O364" i="1" s="1"/>
  <c r="I365" i="1"/>
  <c r="J365" i="1"/>
  <c r="M365" i="1" s="1"/>
  <c r="K365" i="1"/>
  <c r="L365" i="1"/>
  <c r="N365" i="1" s="1"/>
  <c r="O365" i="1" s="1"/>
  <c r="I366" i="1"/>
  <c r="J366" i="1"/>
  <c r="M366" i="1" s="1"/>
  <c r="N366" i="1" s="1"/>
  <c r="O366" i="1" s="1"/>
  <c r="K366" i="1"/>
  <c r="L366" i="1"/>
  <c r="I367" i="1"/>
  <c r="J367" i="1"/>
  <c r="K367" i="1"/>
  <c r="L367" i="1"/>
  <c r="M367" i="1"/>
  <c r="N367" i="1"/>
  <c r="O367" i="1"/>
  <c r="I368" i="1"/>
  <c r="J368" i="1"/>
  <c r="K368" i="1"/>
  <c r="L368" i="1"/>
  <c r="N368" i="1" s="1"/>
  <c r="O368" i="1" s="1"/>
  <c r="M368" i="1"/>
  <c r="I369" i="1"/>
  <c r="J369" i="1"/>
  <c r="K369" i="1"/>
  <c r="L369" i="1"/>
  <c r="M369" i="1"/>
  <c r="I370" i="1"/>
  <c r="J370" i="1"/>
  <c r="M370" i="1" s="1"/>
  <c r="K370" i="1"/>
  <c r="L370" i="1"/>
  <c r="N370" i="1" s="1"/>
  <c r="O370" i="1" s="1"/>
  <c r="I371" i="1"/>
  <c r="J371" i="1"/>
  <c r="M371" i="1" s="1"/>
  <c r="N371" i="1" s="1"/>
  <c r="O371" i="1" s="1"/>
  <c r="K371" i="1"/>
  <c r="L371" i="1"/>
  <c r="I372" i="1"/>
  <c r="J372" i="1"/>
  <c r="M372" i="1" s="1"/>
  <c r="N372" i="1" s="1"/>
  <c r="O372" i="1" s="1"/>
  <c r="K372" i="1"/>
  <c r="L372" i="1"/>
  <c r="I373" i="1"/>
  <c r="J373" i="1"/>
  <c r="K373" i="1"/>
  <c r="L373" i="1"/>
  <c r="M373" i="1"/>
  <c r="N373" i="1"/>
  <c r="O373" i="1" s="1"/>
  <c r="I374" i="1"/>
  <c r="J374" i="1"/>
  <c r="K374" i="1"/>
  <c r="L374" i="1"/>
  <c r="M374" i="1"/>
  <c r="N374" i="1" s="1"/>
  <c r="O374" i="1" s="1"/>
  <c r="I375" i="1"/>
  <c r="J375" i="1"/>
  <c r="M375" i="1" s="1"/>
  <c r="K375" i="1"/>
  <c r="L375" i="1"/>
  <c r="N375" i="1" s="1"/>
  <c r="O375" i="1" s="1"/>
  <c r="I376" i="1"/>
  <c r="J376" i="1"/>
  <c r="M376" i="1" s="1"/>
  <c r="K376" i="1"/>
  <c r="L376" i="1"/>
  <c r="I377" i="1"/>
  <c r="J377" i="1"/>
  <c r="M377" i="1" s="1"/>
  <c r="K377" i="1"/>
  <c r="L377" i="1"/>
  <c r="I378" i="1"/>
  <c r="J378" i="1"/>
  <c r="M378" i="1" s="1"/>
  <c r="N378" i="1" s="1"/>
  <c r="O378" i="1" s="1"/>
  <c r="K378" i="1"/>
  <c r="L378" i="1"/>
  <c r="I379" i="1"/>
  <c r="J379" i="1"/>
  <c r="K379" i="1"/>
  <c r="L379" i="1"/>
  <c r="M379" i="1"/>
  <c r="N379" i="1"/>
  <c r="O379" i="1"/>
  <c r="I380" i="1"/>
  <c r="J380" i="1"/>
  <c r="K380" i="1"/>
  <c r="L380" i="1"/>
  <c r="N380" i="1" s="1"/>
  <c r="O380" i="1" s="1"/>
  <c r="M380" i="1"/>
  <c r="I381" i="1"/>
  <c r="J381" i="1"/>
  <c r="K381" i="1"/>
  <c r="L381" i="1"/>
  <c r="M381" i="1"/>
  <c r="I382" i="1"/>
  <c r="J382" i="1"/>
  <c r="M382" i="1" s="1"/>
  <c r="K382" i="1"/>
  <c r="L382" i="1"/>
  <c r="N382" i="1" s="1"/>
  <c r="O382" i="1" s="1"/>
  <c r="I383" i="1"/>
  <c r="J383" i="1"/>
  <c r="M383" i="1" s="1"/>
  <c r="N383" i="1" s="1"/>
  <c r="O383" i="1" s="1"/>
  <c r="K383" i="1"/>
  <c r="L383" i="1"/>
  <c r="I384" i="1"/>
  <c r="J384" i="1"/>
  <c r="M384" i="1" s="1"/>
  <c r="N384" i="1" s="1"/>
  <c r="O384" i="1" s="1"/>
  <c r="K384" i="1"/>
  <c r="L384" i="1"/>
  <c r="I385" i="1"/>
  <c r="J385" i="1"/>
  <c r="K385" i="1"/>
  <c r="L385" i="1"/>
  <c r="M385" i="1"/>
  <c r="N385" i="1"/>
  <c r="O385" i="1" s="1"/>
  <c r="I386" i="1"/>
  <c r="J386" i="1"/>
  <c r="K386" i="1"/>
  <c r="L386" i="1"/>
  <c r="M386" i="1"/>
  <c r="N386" i="1" s="1"/>
  <c r="O386" i="1" s="1"/>
  <c r="I387" i="1"/>
  <c r="J387" i="1"/>
  <c r="M387" i="1" s="1"/>
  <c r="K387" i="1"/>
  <c r="L387" i="1"/>
  <c r="N387" i="1" s="1"/>
  <c r="O387" i="1" s="1"/>
  <c r="I388" i="1"/>
  <c r="J388" i="1"/>
  <c r="M388" i="1" s="1"/>
  <c r="K388" i="1"/>
  <c r="L388" i="1"/>
  <c r="I389" i="1"/>
  <c r="J389" i="1"/>
  <c r="M389" i="1" s="1"/>
  <c r="K389" i="1"/>
  <c r="L389" i="1"/>
  <c r="N389" i="1" s="1"/>
  <c r="O389" i="1" s="1"/>
  <c r="I390" i="1"/>
  <c r="J390" i="1"/>
  <c r="M390" i="1" s="1"/>
  <c r="N390" i="1" s="1"/>
  <c r="O390" i="1" s="1"/>
  <c r="K390" i="1"/>
  <c r="L390" i="1"/>
  <c r="I391" i="1"/>
  <c r="J391" i="1"/>
  <c r="K391" i="1"/>
  <c r="L391" i="1"/>
  <c r="M391" i="1"/>
  <c r="N391" i="1"/>
  <c r="O391" i="1"/>
  <c r="I392" i="1"/>
  <c r="J392" i="1"/>
  <c r="K392" i="1"/>
  <c r="L392" i="1"/>
  <c r="N392" i="1" s="1"/>
  <c r="O392" i="1" s="1"/>
  <c r="M392" i="1"/>
  <c r="I393" i="1"/>
  <c r="J393" i="1"/>
  <c r="K393" i="1"/>
  <c r="L393" i="1"/>
  <c r="N393" i="1" s="1"/>
  <c r="O393" i="1" s="1"/>
  <c r="M393" i="1"/>
  <c r="I394" i="1"/>
  <c r="J394" i="1"/>
  <c r="M394" i="1" s="1"/>
  <c r="K394" i="1"/>
  <c r="L394" i="1"/>
  <c r="I395" i="1"/>
  <c r="J395" i="1"/>
  <c r="M395" i="1" s="1"/>
  <c r="N395" i="1" s="1"/>
  <c r="O395" i="1" s="1"/>
  <c r="K395" i="1"/>
  <c r="L395" i="1"/>
  <c r="I396" i="1"/>
  <c r="J396" i="1"/>
  <c r="M396" i="1" s="1"/>
  <c r="N396" i="1" s="1"/>
  <c r="O396" i="1" s="1"/>
  <c r="K396" i="1"/>
  <c r="L396" i="1"/>
  <c r="I397" i="1"/>
  <c r="J397" i="1"/>
  <c r="K397" i="1"/>
  <c r="L397" i="1"/>
  <c r="M397" i="1"/>
  <c r="N397" i="1"/>
  <c r="O397" i="1" s="1"/>
  <c r="I398" i="1"/>
  <c r="J398" i="1"/>
  <c r="K398" i="1"/>
  <c r="L398" i="1"/>
  <c r="M398" i="1"/>
  <c r="N398" i="1" s="1"/>
  <c r="O398" i="1" s="1"/>
  <c r="I399" i="1"/>
  <c r="J399" i="1"/>
  <c r="M399" i="1" s="1"/>
  <c r="K399" i="1"/>
  <c r="L399" i="1"/>
  <c r="I400" i="1"/>
  <c r="J400" i="1"/>
  <c r="M400" i="1" s="1"/>
  <c r="K400" i="1"/>
  <c r="L400" i="1"/>
  <c r="N400" i="1" s="1"/>
  <c r="O400" i="1" s="1"/>
  <c r="I401" i="1"/>
  <c r="J401" i="1"/>
  <c r="M401" i="1" s="1"/>
  <c r="K401" i="1"/>
  <c r="L401" i="1"/>
  <c r="I402" i="1"/>
  <c r="J402" i="1"/>
  <c r="M402" i="1" s="1"/>
  <c r="N402" i="1" s="1"/>
  <c r="O402" i="1" s="1"/>
  <c r="K402" i="1"/>
  <c r="L402" i="1"/>
  <c r="I403" i="1"/>
  <c r="J403" i="1"/>
  <c r="K403" i="1"/>
  <c r="L403" i="1"/>
  <c r="M403" i="1"/>
  <c r="N403" i="1"/>
  <c r="O403" i="1" s="1"/>
  <c r="I404" i="1"/>
  <c r="J404" i="1"/>
  <c r="K404" i="1"/>
  <c r="L404" i="1"/>
  <c r="N404" i="1" s="1"/>
  <c r="O404" i="1" s="1"/>
  <c r="M404" i="1"/>
  <c r="I405" i="1"/>
  <c r="J405" i="1"/>
  <c r="K405" i="1"/>
  <c r="L405" i="1"/>
  <c r="N405" i="1" s="1"/>
  <c r="O405" i="1" s="1"/>
  <c r="M405" i="1"/>
  <c r="I406" i="1"/>
  <c r="J406" i="1"/>
  <c r="M406" i="1" s="1"/>
  <c r="K406" i="1"/>
  <c r="L406" i="1"/>
  <c r="N406" i="1" s="1"/>
  <c r="O406" i="1" s="1"/>
  <c r="I407" i="1"/>
  <c r="J407" i="1"/>
  <c r="M407" i="1" s="1"/>
  <c r="N407" i="1" s="1"/>
  <c r="O407" i="1" s="1"/>
  <c r="K407" i="1"/>
  <c r="L407" i="1"/>
  <c r="I408" i="1"/>
  <c r="J408" i="1"/>
  <c r="M408" i="1" s="1"/>
  <c r="N408" i="1" s="1"/>
  <c r="O408" i="1" s="1"/>
  <c r="K408" i="1"/>
  <c r="L408" i="1"/>
  <c r="I409" i="1"/>
  <c r="J409" i="1"/>
  <c r="K409" i="1"/>
  <c r="L409" i="1"/>
  <c r="M409" i="1"/>
  <c r="N409" i="1"/>
  <c r="O409" i="1" s="1"/>
  <c r="I410" i="1"/>
  <c r="J410" i="1"/>
  <c r="K410" i="1"/>
  <c r="L410" i="1"/>
  <c r="M410" i="1"/>
  <c r="N410" i="1"/>
  <c r="O410" i="1" s="1"/>
  <c r="I411" i="1"/>
  <c r="J411" i="1"/>
  <c r="M411" i="1" s="1"/>
  <c r="K411" i="1"/>
  <c r="L411" i="1"/>
  <c r="N411" i="1" s="1"/>
  <c r="O411" i="1" s="1"/>
  <c r="I412" i="1"/>
  <c r="J412" i="1"/>
  <c r="M412" i="1" s="1"/>
  <c r="K412" i="1"/>
  <c r="L412" i="1"/>
  <c r="N412" i="1" s="1"/>
  <c r="O412" i="1" s="1"/>
  <c r="I413" i="1"/>
  <c r="J413" i="1"/>
  <c r="M413" i="1" s="1"/>
  <c r="K413" i="1"/>
  <c r="L413" i="1"/>
  <c r="I414" i="1"/>
  <c r="J414" i="1"/>
  <c r="M414" i="1" s="1"/>
  <c r="N414" i="1" s="1"/>
  <c r="O414" i="1" s="1"/>
  <c r="K414" i="1"/>
  <c r="L414" i="1"/>
  <c r="I415" i="1"/>
  <c r="J415" i="1"/>
  <c r="K415" i="1"/>
  <c r="L415" i="1"/>
  <c r="M415" i="1"/>
  <c r="N415" i="1"/>
  <c r="O415" i="1" s="1"/>
  <c r="I416" i="1"/>
  <c r="J416" i="1"/>
  <c r="K416" i="1"/>
  <c r="L416" i="1"/>
  <c r="N416" i="1" s="1"/>
  <c r="O416" i="1" s="1"/>
  <c r="M416" i="1"/>
  <c r="I417" i="1"/>
  <c r="J417" i="1"/>
  <c r="K417" i="1"/>
  <c r="L417" i="1"/>
  <c r="M417" i="1"/>
  <c r="I418" i="1"/>
  <c r="J418" i="1"/>
  <c r="M418" i="1" s="1"/>
  <c r="K418" i="1"/>
  <c r="L418" i="1"/>
  <c r="N418" i="1" s="1"/>
  <c r="O418" i="1" s="1"/>
  <c r="I419" i="1"/>
  <c r="J419" i="1"/>
  <c r="M419" i="1" s="1"/>
  <c r="N419" i="1" s="1"/>
  <c r="O419" i="1" s="1"/>
  <c r="K419" i="1"/>
  <c r="L419" i="1"/>
  <c r="I420" i="1"/>
  <c r="J420" i="1"/>
  <c r="M420" i="1" s="1"/>
  <c r="N420" i="1" s="1"/>
  <c r="K420" i="1"/>
  <c r="L420" i="1"/>
  <c r="O420" i="1"/>
  <c r="I421" i="1"/>
  <c r="J421" i="1"/>
  <c r="K421" i="1"/>
  <c r="L421" i="1"/>
  <c r="M421" i="1"/>
  <c r="N421" i="1"/>
  <c r="O421" i="1" s="1"/>
  <c r="I422" i="1"/>
  <c r="J422" i="1"/>
  <c r="K422" i="1"/>
  <c r="L422" i="1"/>
  <c r="M422" i="1"/>
  <c r="N422" i="1"/>
  <c r="O422" i="1" s="1"/>
  <c r="I423" i="1"/>
  <c r="J423" i="1"/>
  <c r="M423" i="1" s="1"/>
  <c r="K423" i="1"/>
  <c r="L423" i="1"/>
  <c r="I424" i="1"/>
  <c r="J424" i="1"/>
  <c r="M424" i="1" s="1"/>
  <c r="K424" i="1"/>
  <c r="L424" i="1"/>
  <c r="I425" i="1"/>
  <c r="J425" i="1"/>
  <c r="M425" i="1" s="1"/>
  <c r="K425" i="1"/>
  <c r="L425" i="1"/>
  <c r="N425" i="1" s="1"/>
  <c r="O425" i="1" s="1"/>
  <c r="I426" i="1"/>
  <c r="J426" i="1"/>
  <c r="M426" i="1" s="1"/>
  <c r="N426" i="1" s="1"/>
  <c r="O426" i="1" s="1"/>
  <c r="K426" i="1"/>
  <c r="L426" i="1"/>
  <c r="I427" i="1"/>
  <c r="J427" i="1"/>
  <c r="K427" i="1"/>
  <c r="L427" i="1"/>
  <c r="M427" i="1"/>
  <c r="N427" i="1"/>
  <c r="O427" i="1"/>
  <c r="I428" i="1"/>
  <c r="J428" i="1"/>
  <c r="K428" i="1"/>
  <c r="L428" i="1"/>
  <c r="N428" i="1" s="1"/>
  <c r="O428" i="1" s="1"/>
  <c r="M428" i="1"/>
  <c r="I429" i="1"/>
  <c r="J429" i="1"/>
  <c r="K429" i="1"/>
  <c r="L429" i="1"/>
  <c r="M429" i="1"/>
  <c r="I430" i="1"/>
  <c r="J430" i="1"/>
  <c r="M430" i="1" s="1"/>
  <c r="K430" i="1"/>
  <c r="L430" i="1"/>
  <c r="I431" i="1"/>
  <c r="J431" i="1"/>
  <c r="M431" i="1" s="1"/>
  <c r="N431" i="1" s="1"/>
  <c r="O431" i="1" s="1"/>
  <c r="K431" i="1"/>
  <c r="L431" i="1"/>
  <c r="I432" i="1"/>
  <c r="J432" i="1"/>
  <c r="M432" i="1" s="1"/>
  <c r="N432" i="1" s="1"/>
  <c r="O432" i="1" s="1"/>
  <c r="K432" i="1"/>
  <c r="L432" i="1"/>
  <c r="I433" i="1"/>
  <c r="J433" i="1"/>
  <c r="K433" i="1"/>
  <c r="L433" i="1"/>
  <c r="M433" i="1"/>
  <c r="N433" i="1"/>
  <c r="O433" i="1" s="1"/>
  <c r="I434" i="1"/>
  <c r="J434" i="1"/>
  <c r="K434" i="1"/>
  <c r="L434" i="1"/>
  <c r="M434" i="1"/>
  <c r="N434" i="1" s="1"/>
  <c r="O434" i="1" s="1"/>
  <c r="I435" i="1"/>
  <c r="J435" i="1"/>
  <c r="M435" i="1" s="1"/>
  <c r="K435" i="1"/>
  <c r="L435" i="1"/>
  <c r="I436" i="1"/>
  <c r="J436" i="1"/>
  <c r="M436" i="1" s="1"/>
  <c r="K436" i="1"/>
  <c r="L436" i="1"/>
  <c r="N436" i="1" s="1"/>
  <c r="O436" i="1" s="1"/>
  <c r="I437" i="1"/>
  <c r="J437" i="1"/>
  <c r="M437" i="1" s="1"/>
  <c r="K437" i="1"/>
  <c r="L437" i="1"/>
  <c r="N437" i="1" s="1"/>
  <c r="O437" i="1" s="1"/>
  <c r="I438" i="1"/>
  <c r="J438" i="1"/>
  <c r="M438" i="1" s="1"/>
  <c r="N438" i="1" s="1"/>
  <c r="O438" i="1" s="1"/>
  <c r="K438" i="1"/>
  <c r="L438" i="1"/>
  <c r="I439" i="1"/>
  <c r="J439" i="1"/>
  <c r="K439" i="1"/>
  <c r="L439" i="1"/>
  <c r="M439" i="1"/>
  <c r="N439" i="1"/>
  <c r="O439" i="1"/>
  <c r="I440" i="1"/>
  <c r="J440" i="1"/>
  <c r="K440" i="1"/>
  <c r="L440" i="1"/>
  <c r="N440" i="1" s="1"/>
  <c r="O440" i="1" s="1"/>
  <c r="M440" i="1"/>
  <c r="I441" i="1"/>
  <c r="J441" i="1"/>
  <c r="K441" i="1"/>
  <c r="L441" i="1"/>
  <c r="M441" i="1"/>
  <c r="I442" i="1"/>
  <c r="J442" i="1"/>
  <c r="M442" i="1" s="1"/>
  <c r="K442" i="1"/>
  <c r="L442" i="1"/>
  <c r="N442" i="1" s="1"/>
  <c r="O442" i="1" s="1"/>
  <c r="I443" i="1"/>
  <c r="J443" i="1"/>
  <c r="M443" i="1" s="1"/>
  <c r="N443" i="1" s="1"/>
  <c r="O443" i="1" s="1"/>
  <c r="K443" i="1"/>
  <c r="L443" i="1"/>
  <c r="I444" i="1"/>
  <c r="J444" i="1"/>
  <c r="M444" i="1" s="1"/>
  <c r="N444" i="1" s="1"/>
  <c r="O444" i="1" s="1"/>
  <c r="K444" i="1"/>
  <c r="L444" i="1"/>
  <c r="I445" i="1"/>
  <c r="J445" i="1"/>
  <c r="K445" i="1"/>
  <c r="L445" i="1"/>
  <c r="M445" i="1"/>
  <c r="N445" i="1"/>
  <c r="O445" i="1" s="1"/>
  <c r="I446" i="1"/>
  <c r="J446" i="1"/>
  <c r="K446" i="1"/>
  <c r="L446" i="1"/>
  <c r="M446" i="1"/>
  <c r="N446" i="1" s="1"/>
  <c r="O446" i="1" s="1"/>
  <c r="I447" i="1"/>
  <c r="J447" i="1"/>
  <c r="M447" i="1" s="1"/>
  <c r="K447" i="1"/>
  <c r="L447" i="1"/>
  <c r="N447" i="1" s="1"/>
  <c r="O447" i="1" s="1"/>
  <c r="I448" i="1"/>
  <c r="J448" i="1"/>
  <c r="M448" i="1" s="1"/>
  <c r="K448" i="1"/>
  <c r="L448" i="1"/>
  <c r="I449" i="1"/>
  <c r="J449" i="1"/>
  <c r="M449" i="1" s="1"/>
  <c r="K449" i="1"/>
  <c r="L449" i="1"/>
  <c r="I450" i="1"/>
  <c r="J450" i="1"/>
  <c r="M450" i="1" s="1"/>
  <c r="N450" i="1" s="1"/>
  <c r="O450" i="1" s="1"/>
  <c r="K450" i="1"/>
  <c r="L450" i="1"/>
  <c r="I451" i="1"/>
  <c r="J451" i="1"/>
  <c r="K451" i="1"/>
  <c r="L451" i="1"/>
  <c r="M451" i="1"/>
  <c r="N451" i="1"/>
  <c r="O451" i="1"/>
  <c r="I452" i="1"/>
  <c r="J452" i="1"/>
  <c r="K452" i="1"/>
  <c r="L452" i="1"/>
  <c r="N452" i="1" s="1"/>
  <c r="O452" i="1" s="1"/>
  <c r="M452" i="1"/>
  <c r="I453" i="1"/>
  <c r="J453" i="1"/>
  <c r="K453" i="1"/>
  <c r="L453" i="1"/>
  <c r="M453" i="1"/>
  <c r="I454" i="1"/>
  <c r="J454" i="1"/>
  <c r="M454" i="1" s="1"/>
  <c r="K454" i="1"/>
  <c r="L454" i="1"/>
  <c r="N454" i="1" s="1"/>
  <c r="O454" i="1" s="1"/>
  <c r="I455" i="1"/>
  <c r="J455" i="1"/>
  <c r="M455" i="1" s="1"/>
  <c r="N455" i="1" s="1"/>
  <c r="O455" i="1" s="1"/>
  <c r="K455" i="1"/>
  <c r="L455" i="1"/>
  <c r="I456" i="1"/>
  <c r="J456" i="1"/>
  <c r="M456" i="1" s="1"/>
  <c r="N456" i="1" s="1"/>
  <c r="O456" i="1" s="1"/>
  <c r="K456" i="1"/>
  <c r="L456" i="1"/>
  <c r="I457" i="1"/>
  <c r="J457" i="1"/>
  <c r="K457" i="1"/>
  <c r="L457" i="1"/>
  <c r="M457" i="1"/>
  <c r="N457" i="1"/>
  <c r="O457" i="1" s="1"/>
  <c r="I458" i="1"/>
  <c r="J458" i="1"/>
  <c r="K458" i="1"/>
  <c r="L458" i="1"/>
  <c r="M458" i="1"/>
  <c r="N458" i="1" s="1"/>
  <c r="O458" i="1" s="1"/>
  <c r="I459" i="1"/>
  <c r="J459" i="1"/>
  <c r="M459" i="1" s="1"/>
  <c r="K459" i="1"/>
  <c r="L459" i="1"/>
  <c r="N459" i="1" s="1"/>
  <c r="O459" i="1" s="1"/>
  <c r="I460" i="1"/>
  <c r="J460" i="1"/>
  <c r="M460" i="1" s="1"/>
  <c r="K460" i="1"/>
  <c r="L460" i="1"/>
  <c r="I461" i="1"/>
  <c r="J461" i="1"/>
  <c r="M461" i="1" s="1"/>
  <c r="K461" i="1"/>
  <c r="L461" i="1"/>
  <c r="N461" i="1" s="1"/>
  <c r="O461" i="1" s="1"/>
  <c r="I462" i="1"/>
  <c r="J462" i="1"/>
  <c r="M462" i="1" s="1"/>
  <c r="N462" i="1" s="1"/>
  <c r="O462" i="1" s="1"/>
  <c r="K462" i="1"/>
  <c r="L462" i="1"/>
  <c r="I463" i="1"/>
  <c r="J463" i="1"/>
  <c r="K463" i="1"/>
  <c r="L463" i="1"/>
  <c r="M463" i="1"/>
  <c r="N463" i="1"/>
  <c r="O463" i="1"/>
  <c r="I464" i="1"/>
  <c r="J464" i="1"/>
  <c r="K464" i="1"/>
  <c r="L464" i="1"/>
  <c r="N464" i="1" s="1"/>
  <c r="O464" i="1" s="1"/>
  <c r="M464" i="1"/>
  <c r="I465" i="1"/>
  <c r="J465" i="1"/>
  <c r="K465" i="1"/>
  <c r="L465" i="1"/>
  <c r="N465" i="1" s="1"/>
  <c r="O465" i="1" s="1"/>
  <c r="M465" i="1"/>
  <c r="I466" i="1"/>
  <c r="J466" i="1"/>
  <c r="M466" i="1" s="1"/>
  <c r="K466" i="1"/>
  <c r="L466" i="1"/>
  <c r="I467" i="1"/>
  <c r="J467" i="1"/>
  <c r="M467" i="1" s="1"/>
  <c r="N467" i="1" s="1"/>
  <c r="O467" i="1" s="1"/>
  <c r="K467" i="1"/>
  <c r="L467" i="1"/>
  <c r="I468" i="1"/>
  <c r="J468" i="1"/>
  <c r="M468" i="1" s="1"/>
  <c r="N468" i="1" s="1"/>
  <c r="O468" i="1" s="1"/>
  <c r="K468" i="1"/>
  <c r="L468" i="1"/>
  <c r="I469" i="1"/>
  <c r="J469" i="1"/>
  <c r="K469" i="1"/>
  <c r="L469" i="1"/>
  <c r="M469" i="1"/>
  <c r="N469" i="1"/>
  <c r="O469" i="1" s="1"/>
  <c r="I470" i="1"/>
  <c r="J470" i="1"/>
  <c r="K470" i="1"/>
  <c r="L470" i="1"/>
  <c r="M470" i="1"/>
  <c r="N470" i="1" s="1"/>
  <c r="O470" i="1" s="1"/>
  <c r="I471" i="1"/>
  <c r="J471" i="1"/>
  <c r="M471" i="1" s="1"/>
  <c r="K471" i="1"/>
  <c r="L471" i="1"/>
  <c r="I472" i="1"/>
  <c r="J472" i="1"/>
  <c r="M472" i="1" s="1"/>
  <c r="K472" i="1"/>
  <c r="L472" i="1"/>
  <c r="N472" i="1" s="1"/>
  <c r="O472" i="1" s="1"/>
  <c r="I473" i="1"/>
  <c r="J473" i="1"/>
  <c r="M473" i="1" s="1"/>
  <c r="K473" i="1"/>
  <c r="L473" i="1"/>
  <c r="I474" i="1"/>
  <c r="J474" i="1"/>
  <c r="M474" i="1" s="1"/>
  <c r="N474" i="1" s="1"/>
  <c r="O474" i="1" s="1"/>
  <c r="K474" i="1"/>
  <c r="L474" i="1"/>
  <c r="I475" i="1"/>
  <c r="J475" i="1"/>
  <c r="K475" i="1"/>
  <c r="L475" i="1"/>
  <c r="M475" i="1"/>
  <c r="N475" i="1"/>
  <c r="O475" i="1" s="1"/>
  <c r="I476" i="1"/>
  <c r="J476" i="1"/>
  <c r="K476" i="1"/>
  <c r="L476" i="1"/>
  <c r="N476" i="1" s="1"/>
  <c r="O476" i="1" s="1"/>
  <c r="M476" i="1"/>
  <c r="I477" i="1"/>
  <c r="J477" i="1"/>
  <c r="K477" i="1"/>
  <c r="L477" i="1"/>
  <c r="N477" i="1" s="1"/>
  <c r="O477" i="1" s="1"/>
  <c r="M477" i="1"/>
  <c r="I478" i="1"/>
  <c r="J478" i="1"/>
  <c r="M478" i="1" s="1"/>
  <c r="K478" i="1"/>
  <c r="L478" i="1"/>
  <c r="N478" i="1" s="1"/>
  <c r="O478" i="1" s="1"/>
  <c r="I479" i="1"/>
  <c r="J479" i="1"/>
  <c r="M479" i="1" s="1"/>
  <c r="N479" i="1" s="1"/>
  <c r="O479" i="1" s="1"/>
  <c r="K479" i="1"/>
  <c r="L479" i="1"/>
  <c r="I480" i="1"/>
  <c r="J480" i="1"/>
  <c r="M480" i="1" s="1"/>
  <c r="N480" i="1" s="1"/>
  <c r="O480" i="1" s="1"/>
  <c r="K480" i="1"/>
  <c r="L480" i="1"/>
  <c r="I481" i="1"/>
  <c r="J481" i="1"/>
  <c r="K481" i="1"/>
  <c r="L481" i="1"/>
  <c r="M481" i="1"/>
  <c r="N481" i="1"/>
  <c r="O481" i="1" s="1"/>
  <c r="I482" i="1"/>
  <c r="J482" i="1"/>
  <c r="K482" i="1"/>
  <c r="L482" i="1"/>
  <c r="M482" i="1"/>
  <c r="N482" i="1"/>
  <c r="O482" i="1" s="1"/>
  <c r="I483" i="1"/>
  <c r="J483" i="1"/>
  <c r="M483" i="1" s="1"/>
  <c r="K483" i="1"/>
  <c r="L483" i="1"/>
  <c r="N483" i="1" s="1"/>
  <c r="O483" i="1" s="1"/>
  <c r="I484" i="1"/>
  <c r="J484" i="1"/>
  <c r="M484" i="1" s="1"/>
  <c r="K484" i="1"/>
  <c r="L484" i="1"/>
  <c r="N484" i="1" s="1"/>
  <c r="O484" i="1" s="1"/>
  <c r="I485" i="1"/>
  <c r="J485" i="1"/>
  <c r="M485" i="1" s="1"/>
  <c r="K485" i="1"/>
  <c r="L485" i="1"/>
  <c r="I486" i="1"/>
  <c r="J486" i="1"/>
  <c r="M486" i="1" s="1"/>
  <c r="N486" i="1" s="1"/>
  <c r="O486" i="1" s="1"/>
  <c r="K486" i="1"/>
  <c r="L486" i="1"/>
  <c r="I487" i="1"/>
  <c r="J487" i="1"/>
  <c r="K487" i="1"/>
  <c r="L487" i="1"/>
  <c r="M487" i="1"/>
  <c r="N487" i="1"/>
  <c r="O487" i="1" s="1"/>
  <c r="I488" i="1"/>
  <c r="J488" i="1"/>
  <c r="K488" i="1"/>
  <c r="L488" i="1"/>
  <c r="N488" i="1" s="1"/>
  <c r="O488" i="1" s="1"/>
  <c r="M488" i="1"/>
  <c r="I489" i="1"/>
  <c r="J489" i="1"/>
  <c r="K489" i="1"/>
  <c r="L489" i="1"/>
  <c r="M489" i="1"/>
  <c r="I490" i="1"/>
  <c r="J490" i="1"/>
  <c r="M490" i="1" s="1"/>
  <c r="K490" i="1"/>
  <c r="L490" i="1"/>
  <c r="N490" i="1" s="1"/>
  <c r="O490" i="1" s="1"/>
  <c r="I491" i="1"/>
  <c r="J491" i="1"/>
  <c r="M491" i="1" s="1"/>
  <c r="N491" i="1" s="1"/>
  <c r="O491" i="1" s="1"/>
  <c r="K491" i="1"/>
  <c r="L491" i="1"/>
  <c r="I492" i="1"/>
  <c r="J492" i="1"/>
  <c r="M492" i="1" s="1"/>
  <c r="N492" i="1" s="1"/>
  <c r="K492" i="1"/>
  <c r="L492" i="1"/>
  <c r="O492" i="1"/>
  <c r="I493" i="1"/>
  <c r="J493" i="1"/>
  <c r="K493" i="1"/>
  <c r="L493" i="1"/>
  <c r="M493" i="1"/>
  <c r="N493" i="1"/>
  <c r="O493" i="1" s="1"/>
  <c r="I494" i="1"/>
  <c r="J494" i="1"/>
  <c r="K494" i="1"/>
  <c r="L494" i="1"/>
  <c r="M494" i="1"/>
  <c r="N494" i="1"/>
  <c r="O494" i="1" s="1"/>
  <c r="I495" i="1"/>
  <c r="J495" i="1"/>
  <c r="M495" i="1" s="1"/>
  <c r="K495" i="1"/>
  <c r="L495" i="1"/>
  <c r="I496" i="1"/>
  <c r="J496" i="1"/>
  <c r="M496" i="1" s="1"/>
  <c r="K496" i="1"/>
  <c r="L496" i="1"/>
  <c r="I497" i="1"/>
  <c r="J497" i="1"/>
  <c r="M497" i="1" s="1"/>
  <c r="K497" i="1"/>
  <c r="L497" i="1"/>
  <c r="N497" i="1" s="1"/>
  <c r="O497" i="1" s="1"/>
  <c r="I498" i="1"/>
  <c r="J498" i="1"/>
  <c r="M498" i="1" s="1"/>
  <c r="N498" i="1" s="1"/>
  <c r="O498" i="1" s="1"/>
  <c r="K498" i="1"/>
  <c r="L498" i="1"/>
  <c r="I499" i="1"/>
  <c r="J499" i="1"/>
  <c r="K499" i="1"/>
  <c r="L499" i="1"/>
  <c r="M499" i="1"/>
  <c r="N499" i="1"/>
  <c r="O499" i="1"/>
  <c r="I500" i="1"/>
  <c r="J500" i="1"/>
  <c r="K500" i="1"/>
  <c r="L500" i="1"/>
  <c r="N500" i="1" s="1"/>
  <c r="O500" i="1" s="1"/>
  <c r="M500" i="1"/>
  <c r="I501" i="1"/>
  <c r="J501" i="1"/>
  <c r="K501" i="1"/>
  <c r="L501" i="1"/>
  <c r="M501" i="1"/>
  <c r="I502" i="1"/>
  <c r="J502" i="1"/>
  <c r="M502" i="1" s="1"/>
  <c r="K502" i="1"/>
  <c r="L502" i="1"/>
  <c r="I503" i="1"/>
  <c r="J503" i="1"/>
  <c r="M503" i="1" s="1"/>
  <c r="N503" i="1" s="1"/>
  <c r="O503" i="1" s="1"/>
  <c r="K503" i="1"/>
  <c r="L503" i="1"/>
  <c r="I504" i="1"/>
  <c r="J504" i="1"/>
  <c r="M504" i="1" s="1"/>
  <c r="N504" i="1" s="1"/>
  <c r="O504" i="1" s="1"/>
  <c r="K504" i="1"/>
  <c r="L504" i="1"/>
  <c r="I505" i="1"/>
  <c r="J505" i="1"/>
  <c r="K505" i="1"/>
  <c r="L505" i="1"/>
  <c r="M505" i="1"/>
  <c r="N505" i="1"/>
  <c r="O505" i="1" s="1"/>
  <c r="I506" i="1"/>
  <c r="J506" i="1"/>
  <c r="K506" i="1"/>
  <c r="L506" i="1"/>
  <c r="M506" i="1"/>
  <c r="N506" i="1" s="1"/>
  <c r="O506" i="1" s="1"/>
  <c r="I507" i="1"/>
  <c r="J507" i="1"/>
  <c r="M507" i="1" s="1"/>
  <c r="K507" i="1"/>
  <c r="L507" i="1"/>
  <c r="I508" i="1"/>
  <c r="J508" i="1"/>
  <c r="M508" i="1" s="1"/>
  <c r="K508" i="1"/>
  <c r="L508" i="1"/>
  <c r="N508" i="1" s="1"/>
  <c r="O508" i="1" s="1"/>
  <c r="I509" i="1"/>
  <c r="J509" i="1"/>
  <c r="M509" i="1" s="1"/>
  <c r="K509" i="1"/>
  <c r="L509" i="1"/>
  <c r="N509" i="1" s="1"/>
  <c r="O509" i="1" s="1"/>
  <c r="I510" i="1"/>
  <c r="J510" i="1"/>
  <c r="M510" i="1" s="1"/>
  <c r="N510" i="1" s="1"/>
  <c r="O510" i="1" s="1"/>
  <c r="K510" i="1"/>
  <c r="L510" i="1"/>
  <c r="I511" i="1"/>
  <c r="J511" i="1"/>
  <c r="K511" i="1"/>
  <c r="L511" i="1"/>
  <c r="M511" i="1"/>
  <c r="N511" i="1"/>
  <c r="O511" i="1"/>
  <c r="I512" i="1"/>
  <c r="J512" i="1"/>
  <c r="K512" i="1"/>
  <c r="L512" i="1"/>
  <c r="N512" i="1" s="1"/>
  <c r="O512" i="1" s="1"/>
  <c r="M512" i="1"/>
  <c r="I513" i="1"/>
  <c r="J513" i="1"/>
  <c r="K513" i="1"/>
  <c r="L513" i="1"/>
  <c r="M513" i="1"/>
  <c r="I514" i="1"/>
  <c r="J514" i="1"/>
  <c r="M514" i="1" s="1"/>
  <c r="K514" i="1"/>
  <c r="L514" i="1"/>
  <c r="N514" i="1" s="1"/>
  <c r="O514" i="1" s="1"/>
  <c r="I515" i="1"/>
  <c r="J515" i="1"/>
  <c r="M515" i="1" s="1"/>
  <c r="N515" i="1" s="1"/>
  <c r="O515" i="1" s="1"/>
  <c r="K515" i="1"/>
  <c r="L515" i="1"/>
  <c r="I516" i="1"/>
  <c r="J516" i="1"/>
  <c r="M516" i="1" s="1"/>
  <c r="N516" i="1" s="1"/>
  <c r="O516" i="1" s="1"/>
  <c r="K516" i="1"/>
  <c r="L516" i="1"/>
  <c r="I517" i="1"/>
  <c r="J517" i="1"/>
  <c r="K517" i="1"/>
  <c r="L517" i="1"/>
  <c r="M517" i="1"/>
  <c r="N517" i="1"/>
  <c r="O517" i="1" s="1"/>
  <c r="I518" i="1"/>
  <c r="J518" i="1"/>
  <c r="K518" i="1"/>
  <c r="L518" i="1"/>
  <c r="M518" i="1"/>
  <c r="N518" i="1" s="1"/>
  <c r="O518" i="1" s="1"/>
  <c r="I519" i="1"/>
  <c r="J519" i="1"/>
  <c r="M519" i="1" s="1"/>
  <c r="K519" i="1"/>
  <c r="L519" i="1"/>
  <c r="N519" i="1" s="1"/>
  <c r="O519" i="1" s="1"/>
  <c r="I520" i="1"/>
  <c r="J520" i="1"/>
  <c r="M520" i="1" s="1"/>
  <c r="K520" i="1"/>
  <c r="L520" i="1"/>
  <c r="I521" i="1"/>
  <c r="J521" i="1"/>
  <c r="M521" i="1" s="1"/>
  <c r="K521" i="1"/>
  <c r="L521" i="1"/>
  <c r="I522" i="1"/>
  <c r="J522" i="1"/>
  <c r="M522" i="1" s="1"/>
  <c r="N522" i="1" s="1"/>
  <c r="K522" i="1"/>
  <c r="L522" i="1"/>
  <c r="O522" i="1"/>
  <c r="I523" i="1"/>
  <c r="J523" i="1"/>
  <c r="K523" i="1"/>
  <c r="L523" i="1"/>
  <c r="M523" i="1"/>
  <c r="N523" i="1"/>
  <c r="O523" i="1" s="1"/>
  <c r="I524" i="1"/>
  <c r="J524" i="1"/>
  <c r="K524" i="1"/>
  <c r="L524" i="1"/>
  <c r="N524" i="1" s="1"/>
  <c r="O524" i="1" s="1"/>
  <c r="M524" i="1"/>
  <c r="I525" i="1"/>
  <c r="J525" i="1"/>
  <c r="K525" i="1"/>
  <c r="L525" i="1"/>
  <c r="N525" i="1" s="1"/>
  <c r="O525" i="1" s="1"/>
  <c r="M525" i="1"/>
  <c r="I526" i="1"/>
  <c r="J526" i="1"/>
  <c r="M526" i="1" s="1"/>
  <c r="K526" i="1"/>
  <c r="L526" i="1"/>
  <c r="N526" i="1" s="1"/>
  <c r="O526" i="1" s="1"/>
  <c r="I527" i="1"/>
  <c r="J527" i="1"/>
  <c r="M527" i="1" s="1"/>
  <c r="N527" i="1" s="1"/>
  <c r="O527" i="1" s="1"/>
  <c r="K527" i="1"/>
  <c r="L527" i="1"/>
  <c r="I528" i="1"/>
  <c r="J528" i="1"/>
  <c r="M528" i="1" s="1"/>
  <c r="N528" i="1" s="1"/>
  <c r="K528" i="1"/>
  <c r="L528" i="1"/>
  <c r="O528" i="1"/>
  <c r="I529" i="1"/>
  <c r="J529" i="1"/>
  <c r="K529" i="1"/>
  <c r="L529" i="1"/>
  <c r="M529" i="1"/>
  <c r="N529" i="1"/>
  <c r="O529" i="1" s="1"/>
  <c r="I530" i="1"/>
  <c r="J530" i="1"/>
  <c r="K530" i="1"/>
  <c r="L530" i="1"/>
  <c r="M530" i="1"/>
  <c r="N530" i="1"/>
  <c r="O530" i="1" s="1"/>
  <c r="I531" i="1"/>
  <c r="J531" i="1"/>
  <c r="M531" i="1" s="1"/>
  <c r="K531" i="1"/>
  <c r="L531" i="1"/>
  <c r="N531" i="1" s="1"/>
  <c r="O531" i="1" s="1"/>
  <c r="I532" i="1"/>
  <c r="J532" i="1"/>
  <c r="M532" i="1" s="1"/>
  <c r="K532" i="1"/>
  <c r="L532" i="1"/>
  <c r="N532" i="1" s="1"/>
  <c r="O532" i="1" s="1"/>
  <c r="I533" i="1"/>
  <c r="J533" i="1"/>
  <c r="M533" i="1" s="1"/>
  <c r="K533" i="1"/>
  <c r="L533" i="1"/>
  <c r="I534" i="1"/>
  <c r="J534" i="1"/>
  <c r="M534" i="1" s="1"/>
  <c r="N534" i="1" s="1"/>
  <c r="K534" i="1"/>
  <c r="L534" i="1"/>
  <c r="O534" i="1"/>
  <c r="I535" i="1"/>
  <c r="J535" i="1"/>
  <c r="K535" i="1"/>
  <c r="L535" i="1"/>
  <c r="M535" i="1"/>
  <c r="N535" i="1"/>
  <c r="O535" i="1"/>
  <c r="I536" i="1"/>
  <c r="J536" i="1"/>
  <c r="K536" i="1"/>
  <c r="L536" i="1"/>
  <c r="M536" i="1"/>
  <c r="I537" i="1"/>
  <c r="J537" i="1"/>
  <c r="K537" i="1"/>
  <c r="L537" i="1"/>
  <c r="M537" i="1"/>
  <c r="I538" i="1"/>
  <c r="J538" i="1"/>
  <c r="M538" i="1" s="1"/>
  <c r="K538" i="1"/>
  <c r="L538" i="1"/>
  <c r="N538" i="1" s="1"/>
  <c r="O538" i="1" s="1"/>
  <c r="I539" i="1"/>
  <c r="J539" i="1"/>
  <c r="M539" i="1" s="1"/>
  <c r="N539" i="1" s="1"/>
  <c r="O539" i="1" s="1"/>
  <c r="K539" i="1"/>
  <c r="L539" i="1"/>
  <c r="I540" i="1"/>
  <c r="J540" i="1"/>
  <c r="M540" i="1" s="1"/>
  <c r="K540" i="1"/>
  <c r="L540" i="1"/>
  <c r="N540" i="1"/>
  <c r="O540" i="1" s="1"/>
  <c r="I541" i="1"/>
  <c r="J541" i="1"/>
  <c r="K541" i="1"/>
  <c r="L541" i="1"/>
  <c r="N541" i="1" s="1"/>
  <c r="O541" i="1" s="1"/>
  <c r="M541" i="1"/>
  <c r="I542" i="1"/>
  <c r="J542" i="1"/>
  <c r="K542" i="1"/>
  <c r="L542" i="1"/>
  <c r="N542" i="1" s="1"/>
  <c r="O542" i="1" s="1"/>
  <c r="M542" i="1"/>
  <c r="I543" i="1"/>
  <c r="J543" i="1"/>
  <c r="M543" i="1" s="1"/>
  <c r="K543" i="1"/>
  <c r="L543" i="1"/>
  <c r="N543" i="1" s="1"/>
  <c r="O543" i="1" s="1"/>
  <c r="I544" i="1"/>
  <c r="J544" i="1"/>
  <c r="M544" i="1" s="1"/>
  <c r="K544" i="1"/>
  <c r="L544" i="1"/>
  <c r="I545" i="1"/>
  <c r="J545" i="1"/>
  <c r="M545" i="1" s="1"/>
  <c r="K545" i="1"/>
  <c r="L545" i="1"/>
  <c r="N545" i="1" s="1"/>
  <c r="O545" i="1" s="1"/>
  <c r="I546" i="1"/>
  <c r="J546" i="1"/>
  <c r="M546" i="1" s="1"/>
  <c r="N546" i="1" s="1"/>
  <c r="O546" i="1" s="1"/>
  <c r="K546" i="1"/>
  <c r="L546" i="1"/>
  <c r="I547" i="1"/>
  <c r="J547" i="1"/>
  <c r="K547" i="1"/>
  <c r="L547" i="1"/>
  <c r="M547" i="1"/>
  <c r="N547" i="1"/>
  <c r="O547" i="1" s="1"/>
  <c r="I548" i="1"/>
  <c r="J548" i="1"/>
  <c r="K548" i="1"/>
  <c r="L548" i="1"/>
  <c r="M548" i="1"/>
  <c r="I549" i="1"/>
  <c r="J549" i="1"/>
  <c r="K549" i="1"/>
  <c r="L549" i="1"/>
  <c r="N549" i="1" s="1"/>
  <c r="O549" i="1" s="1"/>
  <c r="M549" i="1"/>
  <c r="I550" i="1"/>
  <c r="J550" i="1"/>
  <c r="M550" i="1" s="1"/>
  <c r="K550" i="1"/>
  <c r="L550" i="1"/>
  <c r="I551" i="1"/>
  <c r="J551" i="1"/>
  <c r="M551" i="1" s="1"/>
  <c r="K551" i="1"/>
  <c r="L551" i="1"/>
  <c r="N551" i="1"/>
  <c r="O551" i="1" s="1"/>
  <c r="I552" i="1"/>
  <c r="J552" i="1"/>
  <c r="M552" i="1" s="1"/>
  <c r="K552" i="1"/>
  <c r="L552" i="1"/>
  <c r="N552" i="1"/>
  <c r="O552" i="1"/>
  <c r="I553" i="1"/>
  <c r="J553" i="1"/>
  <c r="K553" i="1"/>
  <c r="L553" i="1"/>
  <c r="N553" i="1" s="1"/>
  <c r="O553" i="1" s="1"/>
  <c r="M553" i="1"/>
  <c r="I554" i="1"/>
  <c r="J554" i="1"/>
  <c r="K554" i="1"/>
  <c r="L554" i="1"/>
  <c r="N554" i="1" s="1"/>
  <c r="O554" i="1" s="1"/>
  <c r="M554" i="1"/>
  <c r="I555" i="1"/>
  <c r="J555" i="1"/>
  <c r="M555" i="1" s="1"/>
  <c r="K555" i="1"/>
  <c r="L555" i="1"/>
  <c r="N555" i="1" s="1"/>
  <c r="O555" i="1" s="1"/>
  <c r="I556" i="1"/>
  <c r="J556" i="1"/>
  <c r="M556" i="1" s="1"/>
  <c r="K556" i="1"/>
  <c r="L556" i="1"/>
  <c r="N556" i="1" s="1"/>
  <c r="O556" i="1"/>
  <c r="I557" i="1"/>
  <c r="J557" i="1"/>
  <c r="M557" i="1" s="1"/>
  <c r="K557" i="1"/>
  <c r="L557" i="1"/>
  <c r="N557" i="1" s="1"/>
  <c r="O557" i="1" s="1"/>
  <c r="I558" i="1"/>
  <c r="J558" i="1"/>
  <c r="K558" i="1"/>
  <c r="L558" i="1"/>
  <c r="M558" i="1"/>
  <c r="N558" i="1" s="1"/>
  <c r="O558" i="1"/>
  <c r="I559" i="1"/>
  <c r="J559" i="1"/>
  <c r="K559" i="1"/>
  <c r="L559" i="1"/>
  <c r="M559" i="1"/>
  <c r="N559" i="1"/>
  <c r="O559" i="1" s="1"/>
  <c r="I560" i="1"/>
  <c r="J560" i="1"/>
  <c r="K560" i="1"/>
  <c r="L560" i="1"/>
  <c r="M560" i="1"/>
  <c r="I561" i="1"/>
  <c r="J561" i="1"/>
  <c r="K561" i="1"/>
  <c r="L561" i="1"/>
  <c r="N561" i="1" s="1"/>
  <c r="O561" i="1" s="1"/>
  <c r="M561" i="1"/>
  <c r="I562" i="1"/>
  <c r="J562" i="1"/>
  <c r="M562" i="1" s="1"/>
  <c r="K562" i="1"/>
  <c r="L562" i="1"/>
  <c r="I563" i="1"/>
  <c r="J563" i="1"/>
  <c r="M563" i="1" s="1"/>
  <c r="K563" i="1"/>
  <c r="L563" i="1"/>
  <c r="N563" i="1"/>
  <c r="O563" i="1"/>
  <c r="I564" i="1"/>
  <c r="J564" i="1"/>
  <c r="M564" i="1" s="1"/>
  <c r="K564" i="1"/>
  <c r="L564" i="1"/>
  <c r="N564" i="1"/>
  <c r="O564" i="1" s="1"/>
  <c r="I565" i="1"/>
  <c r="J565" i="1"/>
  <c r="K565" i="1"/>
  <c r="L565" i="1"/>
  <c r="N565" i="1" s="1"/>
  <c r="O565" i="1" s="1"/>
  <c r="M565" i="1"/>
  <c r="I566" i="1"/>
  <c r="J566" i="1"/>
  <c r="K566" i="1"/>
  <c r="L566" i="1"/>
  <c r="N566" i="1" s="1"/>
  <c r="O566" i="1" s="1"/>
  <c r="M566" i="1"/>
  <c r="I567" i="1"/>
  <c r="J567" i="1"/>
  <c r="M567" i="1" s="1"/>
  <c r="K567" i="1"/>
  <c r="L567" i="1"/>
  <c r="N567" i="1" s="1"/>
  <c r="O567" i="1" s="1"/>
  <c r="I568" i="1"/>
  <c r="J568" i="1"/>
  <c r="M568" i="1" s="1"/>
  <c r="K568" i="1"/>
  <c r="L568" i="1"/>
  <c r="I569" i="1"/>
  <c r="J569" i="1"/>
  <c r="M569" i="1" s="1"/>
  <c r="K569" i="1"/>
  <c r="L569" i="1"/>
  <c r="N569" i="1" s="1"/>
  <c r="O569" i="1" s="1"/>
  <c r="I570" i="1"/>
  <c r="J570" i="1"/>
  <c r="M570" i="1" s="1"/>
  <c r="N570" i="1" s="1"/>
  <c r="O570" i="1" s="1"/>
  <c r="K570" i="1"/>
  <c r="L570" i="1"/>
  <c r="I571" i="1"/>
  <c r="J571" i="1"/>
  <c r="K571" i="1"/>
  <c r="L571" i="1"/>
  <c r="M571" i="1"/>
  <c r="N571" i="1"/>
  <c r="O571" i="1" s="1"/>
  <c r="I572" i="1"/>
  <c r="J572" i="1"/>
  <c r="K572" i="1"/>
  <c r="L572" i="1"/>
  <c r="M572" i="1"/>
  <c r="I573" i="1"/>
  <c r="J573" i="1"/>
  <c r="K573" i="1"/>
  <c r="L573" i="1"/>
  <c r="N573" i="1" s="1"/>
  <c r="O573" i="1" s="1"/>
  <c r="M573" i="1"/>
  <c r="I574" i="1"/>
  <c r="J574" i="1"/>
  <c r="M574" i="1" s="1"/>
  <c r="K574" i="1"/>
  <c r="L574" i="1"/>
  <c r="I575" i="1"/>
  <c r="J575" i="1"/>
  <c r="M575" i="1" s="1"/>
  <c r="K575" i="1"/>
  <c r="L575" i="1"/>
  <c r="N575" i="1"/>
  <c r="O575" i="1" s="1"/>
  <c r="I576" i="1"/>
  <c r="J576" i="1"/>
  <c r="M576" i="1" s="1"/>
  <c r="K576" i="1"/>
  <c r="L576" i="1"/>
  <c r="N576" i="1"/>
  <c r="O576" i="1"/>
  <c r="I577" i="1"/>
  <c r="J577" i="1"/>
  <c r="K577" i="1"/>
  <c r="L577" i="1"/>
  <c r="N577" i="1" s="1"/>
  <c r="O577" i="1" s="1"/>
  <c r="M577" i="1"/>
  <c r="I578" i="1"/>
  <c r="J578" i="1"/>
  <c r="K578" i="1"/>
  <c r="L578" i="1"/>
  <c r="M578" i="1"/>
  <c r="N578" i="1"/>
  <c r="O578" i="1" s="1"/>
  <c r="I579" i="1"/>
  <c r="J579" i="1"/>
  <c r="M579" i="1" s="1"/>
  <c r="K579" i="1"/>
  <c r="L579" i="1"/>
  <c r="I580" i="1"/>
  <c r="J580" i="1"/>
  <c r="M580" i="1" s="1"/>
  <c r="K580" i="1"/>
  <c r="L580" i="1"/>
  <c r="N580" i="1" s="1"/>
  <c r="O580" i="1" s="1"/>
  <c r="I581" i="1"/>
  <c r="J581" i="1"/>
  <c r="M581" i="1" s="1"/>
  <c r="K581" i="1"/>
  <c r="L581" i="1"/>
  <c r="I582" i="1"/>
  <c r="J582" i="1"/>
  <c r="K582" i="1"/>
  <c r="L582" i="1"/>
  <c r="M582" i="1"/>
  <c r="N582" i="1" s="1"/>
  <c r="O582" i="1" s="1"/>
  <c r="I583" i="1"/>
  <c r="J583" i="1"/>
  <c r="K583" i="1"/>
  <c r="L583" i="1"/>
  <c r="M583" i="1"/>
  <c r="N583" i="1"/>
  <c r="O583" i="1" s="1"/>
  <c r="I584" i="1"/>
  <c r="J584" i="1"/>
  <c r="K584" i="1"/>
  <c r="L584" i="1"/>
  <c r="N584" i="1" s="1"/>
  <c r="O584" i="1" s="1"/>
  <c r="M584" i="1"/>
  <c r="I585" i="1"/>
  <c r="J585" i="1"/>
  <c r="K585" i="1"/>
  <c r="L585" i="1"/>
  <c r="N585" i="1" s="1"/>
  <c r="O585" i="1" s="1"/>
  <c r="M585" i="1"/>
  <c r="I586" i="1"/>
  <c r="J586" i="1"/>
  <c r="M586" i="1" s="1"/>
  <c r="K586" i="1"/>
  <c r="L586" i="1"/>
  <c r="I587" i="1"/>
  <c r="J587" i="1"/>
  <c r="M587" i="1" s="1"/>
  <c r="K587" i="1"/>
  <c r="L587" i="1"/>
  <c r="I588" i="1"/>
  <c r="J588" i="1"/>
  <c r="M588" i="1" s="1"/>
  <c r="K588" i="1"/>
  <c r="L588" i="1"/>
  <c r="N588" i="1"/>
  <c r="O588" i="1"/>
  <c r="I589" i="1"/>
  <c r="J589" i="1"/>
  <c r="K589" i="1"/>
  <c r="L589" i="1"/>
  <c r="N589" i="1" s="1"/>
  <c r="O589" i="1" s="1"/>
  <c r="M589" i="1"/>
  <c r="I590" i="1"/>
  <c r="J590" i="1"/>
  <c r="K590" i="1"/>
  <c r="L590" i="1"/>
  <c r="M590" i="1"/>
  <c r="N590" i="1"/>
  <c r="O590" i="1" s="1"/>
  <c r="I591" i="1"/>
  <c r="J591" i="1"/>
  <c r="K591" i="1"/>
  <c r="L591" i="1"/>
  <c r="M591" i="1"/>
  <c r="I592" i="1"/>
  <c r="J592" i="1"/>
  <c r="M592" i="1" s="1"/>
  <c r="N592" i="1" s="1"/>
  <c r="O592" i="1" s="1"/>
  <c r="K592" i="1"/>
  <c r="L592" i="1"/>
  <c r="I593" i="1"/>
  <c r="J593" i="1"/>
  <c r="M593" i="1" s="1"/>
  <c r="K593" i="1"/>
  <c r="L593" i="1"/>
  <c r="I594" i="1"/>
  <c r="J594" i="1"/>
  <c r="M594" i="1" s="1"/>
  <c r="N594" i="1" s="1"/>
  <c r="O594" i="1" s="1"/>
  <c r="K594" i="1"/>
  <c r="L594" i="1"/>
  <c r="I595" i="1"/>
  <c r="J595" i="1"/>
  <c r="K595" i="1"/>
  <c r="L595" i="1"/>
  <c r="M595" i="1"/>
  <c r="N595" i="1" s="1"/>
  <c r="O595" i="1"/>
  <c r="I596" i="1"/>
  <c r="J596" i="1"/>
  <c r="M596" i="1" s="1"/>
  <c r="N596" i="1" s="1"/>
  <c r="O596" i="1" s="1"/>
  <c r="K596" i="1"/>
  <c r="L596" i="1"/>
  <c r="I597" i="1"/>
  <c r="J597" i="1"/>
  <c r="K597" i="1"/>
  <c r="L597" i="1"/>
  <c r="M597" i="1"/>
  <c r="N597" i="1"/>
  <c r="O597" i="1"/>
  <c r="I598" i="1"/>
  <c r="J598" i="1"/>
  <c r="M598" i="1" s="1"/>
  <c r="K598" i="1"/>
  <c r="L598" i="1"/>
  <c r="I599" i="1"/>
  <c r="J599" i="1"/>
  <c r="K599" i="1"/>
  <c r="L599" i="1"/>
  <c r="M599" i="1"/>
  <c r="N599" i="1" s="1"/>
  <c r="O599" i="1"/>
  <c r="I600" i="1"/>
  <c r="J600" i="1"/>
  <c r="M600" i="1" s="1"/>
  <c r="N600" i="1" s="1"/>
  <c r="O600" i="1" s="1"/>
  <c r="K600" i="1"/>
  <c r="L600" i="1"/>
  <c r="I601" i="1"/>
  <c r="J601" i="1"/>
  <c r="M601" i="1" s="1"/>
  <c r="K601" i="1"/>
  <c r="L601" i="1"/>
  <c r="N601" i="1"/>
  <c r="O601" i="1"/>
  <c r="I602" i="1"/>
  <c r="J602" i="1"/>
  <c r="K602" i="1"/>
  <c r="L602" i="1"/>
  <c r="M602" i="1"/>
  <c r="N602" i="1" s="1"/>
  <c r="O602" i="1" s="1"/>
  <c r="I603" i="1"/>
  <c r="J603" i="1"/>
  <c r="K603" i="1"/>
  <c r="L603" i="1"/>
  <c r="M603" i="1"/>
  <c r="I604" i="1"/>
  <c r="J604" i="1"/>
  <c r="K604" i="1"/>
  <c r="L604" i="1"/>
  <c r="M604" i="1"/>
  <c r="N604" i="1" s="1"/>
  <c r="O604" i="1" s="1"/>
  <c r="I605" i="1"/>
  <c r="J605" i="1"/>
  <c r="M605" i="1" s="1"/>
  <c r="K605" i="1"/>
  <c r="L605" i="1"/>
  <c r="N605" i="1" s="1"/>
  <c r="O605" i="1"/>
  <c r="I606" i="1"/>
  <c r="J606" i="1"/>
  <c r="K606" i="1"/>
  <c r="L606" i="1"/>
  <c r="M606" i="1"/>
  <c r="N606" i="1" s="1"/>
  <c r="O606" i="1" s="1"/>
  <c r="I607" i="1"/>
  <c r="J607" i="1"/>
  <c r="K607" i="1"/>
  <c r="L607" i="1"/>
  <c r="M607" i="1"/>
  <c r="N607" i="1" s="1"/>
  <c r="O607" i="1" s="1"/>
  <c r="I608" i="1"/>
  <c r="J608" i="1"/>
  <c r="K608" i="1"/>
  <c r="L608" i="1"/>
  <c r="N608" i="1" s="1"/>
  <c r="O608" i="1" s="1"/>
  <c r="M608" i="1"/>
  <c r="I609" i="1"/>
  <c r="J609" i="1"/>
  <c r="K609" i="1"/>
  <c r="L609" i="1"/>
  <c r="N609" i="1" s="1"/>
  <c r="O609" i="1" s="1"/>
  <c r="M609" i="1"/>
  <c r="I610" i="1"/>
  <c r="J610" i="1"/>
  <c r="M610" i="1" s="1"/>
  <c r="K610" i="1"/>
  <c r="L610" i="1"/>
  <c r="I611" i="1"/>
  <c r="J611" i="1"/>
  <c r="K611" i="1"/>
  <c r="L611" i="1"/>
  <c r="N611" i="1" s="1"/>
  <c r="O611" i="1" s="1"/>
  <c r="M611" i="1"/>
  <c r="I612" i="1"/>
  <c r="J612" i="1"/>
  <c r="M612" i="1" s="1"/>
  <c r="K612" i="1"/>
  <c r="L612" i="1"/>
  <c r="N612" i="1"/>
  <c r="O612" i="1" s="1"/>
  <c r="I613" i="1"/>
  <c r="J613" i="1"/>
  <c r="K613" i="1"/>
  <c r="L613" i="1"/>
  <c r="N613" i="1" s="1"/>
  <c r="O613" i="1" s="1"/>
  <c r="M613" i="1"/>
  <c r="I614" i="1"/>
  <c r="J614" i="1"/>
  <c r="K614" i="1"/>
  <c r="L614" i="1"/>
  <c r="M614" i="1"/>
  <c r="N614" i="1"/>
  <c r="O614" i="1" s="1"/>
  <c r="I615" i="1"/>
  <c r="J615" i="1"/>
  <c r="M615" i="1" s="1"/>
  <c r="K615" i="1"/>
  <c r="L615" i="1"/>
  <c r="I616" i="1"/>
  <c r="J616" i="1"/>
  <c r="M616" i="1" s="1"/>
  <c r="N616" i="1" s="1"/>
  <c r="O616" i="1" s="1"/>
  <c r="K616" i="1"/>
  <c r="L616" i="1"/>
  <c r="I617" i="1"/>
  <c r="J617" i="1"/>
  <c r="M617" i="1" s="1"/>
  <c r="K617" i="1"/>
  <c r="L617" i="1"/>
  <c r="I618" i="1"/>
  <c r="J618" i="1"/>
  <c r="M618" i="1" s="1"/>
  <c r="N618" i="1" s="1"/>
  <c r="O618" i="1" s="1"/>
  <c r="K618" i="1"/>
  <c r="L618" i="1"/>
  <c r="I619" i="1"/>
  <c r="J619" i="1"/>
  <c r="M619" i="1" s="1"/>
  <c r="N619" i="1" s="1"/>
  <c r="O619" i="1" s="1"/>
  <c r="K619" i="1"/>
  <c r="L619" i="1"/>
  <c r="I620" i="1"/>
  <c r="J620" i="1"/>
  <c r="M620" i="1" s="1"/>
  <c r="K620" i="1"/>
  <c r="L620" i="1"/>
  <c r="N620" i="1"/>
  <c r="O620" i="1" s="1"/>
  <c r="I621" i="1"/>
  <c r="J621" i="1"/>
  <c r="K621" i="1"/>
  <c r="L621" i="1"/>
  <c r="M621" i="1"/>
  <c r="N621" i="1" s="1"/>
  <c r="O621" i="1" s="1"/>
  <c r="I622" i="1"/>
  <c r="J622" i="1"/>
  <c r="K622" i="1"/>
  <c r="L622" i="1"/>
  <c r="M622" i="1"/>
  <c r="I623" i="1"/>
  <c r="J623" i="1"/>
  <c r="M623" i="1" s="1"/>
  <c r="K623" i="1"/>
  <c r="L623" i="1"/>
  <c r="I624" i="1"/>
  <c r="J624" i="1"/>
  <c r="M624" i="1" s="1"/>
  <c r="K624" i="1"/>
  <c r="L624" i="1"/>
  <c r="N624" i="1" s="1"/>
  <c r="O624" i="1" s="1"/>
  <c r="I625" i="1"/>
  <c r="J625" i="1"/>
  <c r="K625" i="1"/>
  <c r="L625" i="1"/>
  <c r="N625" i="1" s="1"/>
  <c r="O625" i="1" s="1"/>
  <c r="M625" i="1"/>
  <c r="I626" i="1"/>
  <c r="J626" i="1"/>
  <c r="M626" i="1" s="1"/>
  <c r="N626" i="1" s="1"/>
  <c r="O626" i="1" s="1"/>
  <c r="K626" i="1"/>
  <c r="L626" i="1"/>
  <c r="I627" i="1"/>
  <c r="J627" i="1"/>
  <c r="K627" i="1"/>
  <c r="L627" i="1"/>
  <c r="M627" i="1"/>
  <c r="N627" i="1" s="1"/>
  <c r="O627" i="1"/>
  <c r="I628" i="1"/>
  <c r="J628" i="1"/>
  <c r="M628" i="1" s="1"/>
  <c r="K628" i="1"/>
  <c r="L628" i="1"/>
  <c r="I629" i="1"/>
  <c r="J629" i="1"/>
  <c r="K629" i="1"/>
  <c r="L629" i="1"/>
  <c r="M629" i="1"/>
  <c r="I630" i="1"/>
  <c r="J630" i="1"/>
  <c r="K630" i="1"/>
  <c r="L630" i="1"/>
  <c r="M630" i="1"/>
  <c r="N630" i="1" s="1"/>
  <c r="O630" i="1" s="1"/>
  <c r="I631" i="1"/>
  <c r="J631" i="1"/>
  <c r="K631" i="1"/>
  <c r="L631" i="1"/>
  <c r="M631" i="1"/>
  <c r="N631" i="1" s="1"/>
  <c r="O631" i="1" s="1"/>
  <c r="I632" i="1"/>
  <c r="J632" i="1"/>
  <c r="K632" i="1"/>
  <c r="L632" i="1"/>
  <c r="N632" i="1" s="1"/>
  <c r="O632" i="1" s="1"/>
  <c r="M632" i="1"/>
  <c r="I633" i="1"/>
  <c r="J633" i="1"/>
  <c r="K633" i="1"/>
  <c r="L633" i="1"/>
  <c r="M633" i="1"/>
  <c r="N633" i="1"/>
  <c r="O633" i="1" s="1"/>
  <c r="I634" i="1"/>
  <c r="J634" i="1"/>
  <c r="K634" i="1"/>
  <c r="L634" i="1"/>
  <c r="M634" i="1"/>
  <c r="N634" i="1" s="1"/>
  <c r="O634" i="1" s="1"/>
  <c r="I635" i="1"/>
  <c r="J635" i="1"/>
  <c r="M635" i="1" s="1"/>
  <c r="K635" i="1"/>
  <c r="L635" i="1"/>
  <c r="I636" i="1"/>
  <c r="J636" i="1"/>
  <c r="M636" i="1" s="1"/>
  <c r="N636" i="1" s="1"/>
  <c r="O636" i="1" s="1"/>
  <c r="K636" i="1"/>
  <c r="L636" i="1"/>
  <c r="I637" i="1"/>
  <c r="J637" i="1"/>
  <c r="K637" i="1"/>
  <c r="L637" i="1"/>
  <c r="M637" i="1"/>
  <c r="N637" i="1" s="1"/>
  <c r="O637" i="1" s="1"/>
  <c r="I638" i="1"/>
  <c r="J638" i="1"/>
  <c r="K638" i="1"/>
  <c r="L638" i="1"/>
  <c r="M638" i="1"/>
  <c r="I639" i="1"/>
  <c r="J639" i="1"/>
  <c r="K639" i="1"/>
  <c r="L639" i="1"/>
  <c r="N639" i="1" s="1"/>
  <c r="O639" i="1" s="1"/>
  <c r="M639" i="1"/>
  <c r="I640" i="1"/>
  <c r="J640" i="1"/>
  <c r="M640" i="1" s="1"/>
  <c r="N640" i="1" s="1"/>
  <c r="O640" i="1" s="1"/>
  <c r="K640" i="1"/>
  <c r="L640" i="1"/>
  <c r="I641" i="1"/>
  <c r="J641" i="1"/>
  <c r="K641" i="1"/>
  <c r="L641" i="1"/>
  <c r="M641" i="1"/>
  <c r="N641" i="1" s="1"/>
  <c r="O641" i="1"/>
  <c r="I642" i="1"/>
  <c r="J642" i="1"/>
  <c r="M642" i="1" s="1"/>
  <c r="K642" i="1"/>
  <c r="L642" i="1"/>
  <c r="I643" i="1"/>
  <c r="J643" i="1"/>
  <c r="K643" i="1"/>
  <c r="L643" i="1"/>
  <c r="M643" i="1"/>
  <c r="N643" i="1" s="1"/>
  <c r="O643" i="1" s="1"/>
  <c r="I644" i="1"/>
  <c r="J644" i="1"/>
  <c r="M644" i="1" s="1"/>
  <c r="K644" i="1"/>
  <c r="L644" i="1"/>
  <c r="N644" i="1" s="1"/>
  <c r="O644" i="1" s="1"/>
  <c r="I645" i="1"/>
  <c r="J645" i="1"/>
  <c r="K645" i="1"/>
  <c r="L645" i="1"/>
  <c r="N645" i="1" s="1"/>
  <c r="O645" i="1" s="1"/>
  <c r="M645" i="1"/>
  <c r="I646" i="1"/>
  <c r="J646" i="1"/>
  <c r="M646" i="1" s="1"/>
  <c r="N646" i="1" s="1"/>
  <c r="O646" i="1" s="1"/>
  <c r="K646" i="1"/>
  <c r="L646" i="1"/>
  <c r="I647" i="1"/>
  <c r="J647" i="1"/>
  <c r="M647" i="1" s="1"/>
  <c r="K647" i="1"/>
  <c r="L647" i="1"/>
  <c r="N647" i="1" s="1"/>
  <c r="O647" i="1" s="1"/>
  <c r="I648" i="1"/>
  <c r="J648" i="1"/>
  <c r="M648" i="1" s="1"/>
  <c r="K648" i="1"/>
  <c r="L648" i="1"/>
  <c r="N648" i="1"/>
  <c r="O648" i="1"/>
  <c r="I649" i="1"/>
  <c r="J649" i="1"/>
  <c r="K649" i="1"/>
  <c r="L649" i="1"/>
  <c r="M649" i="1"/>
  <c r="N649" i="1" s="1"/>
  <c r="O649" i="1" s="1"/>
  <c r="I650" i="1"/>
  <c r="J650" i="1"/>
  <c r="K650" i="1"/>
  <c r="L650" i="1"/>
  <c r="M650" i="1"/>
  <c r="I651" i="1"/>
  <c r="J651" i="1"/>
  <c r="K651" i="1"/>
  <c r="L651" i="1"/>
  <c r="N651" i="1" s="1"/>
  <c r="O651" i="1" s="1"/>
  <c r="M651" i="1"/>
  <c r="I652" i="1"/>
  <c r="J652" i="1"/>
  <c r="M652" i="1" s="1"/>
  <c r="N652" i="1" s="1"/>
  <c r="O652" i="1" s="1"/>
  <c r="K652" i="1"/>
  <c r="L652" i="1"/>
  <c r="I653" i="1"/>
  <c r="J653" i="1"/>
  <c r="K653" i="1"/>
  <c r="L653" i="1"/>
  <c r="M653" i="1"/>
  <c r="N653" i="1" s="1"/>
  <c r="O653" i="1" s="1"/>
  <c r="I654" i="1"/>
  <c r="J654" i="1"/>
  <c r="M654" i="1" s="1"/>
  <c r="K654" i="1"/>
  <c r="L654" i="1"/>
  <c r="N654" i="1" s="1"/>
  <c r="O654" i="1" s="1"/>
  <c r="I655" i="1"/>
  <c r="J655" i="1"/>
  <c r="K655" i="1"/>
  <c r="L655" i="1"/>
  <c r="M655" i="1"/>
  <c r="N655" i="1"/>
  <c r="O655" i="1" s="1"/>
  <c r="I656" i="1"/>
  <c r="J656" i="1"/>
  <c r="M656" i="1" s="1"/>
  <c r="K656" i="1"/>
  <c r="L656" i="1"/>
  <c r="N656" i="1" s="1"/>
  <c r="O656" i="1" s="1"/>
  <c r="I657" i="1"/>
  <c r="J657" i="1"/>
  <c r="K657" i="1"/>
  <c r="L657" i="1"/>
  <c r="N657" i="1" s="1"/>
  <c r="O657" i="1" s="1"/>
  <c r="M657" i="1"/>
  <c r="I658" i="1"/>
  <c r="J658" i="1"/>
  <c r="M658" i="1" s="1"/>
  <c r="N658" i="1" s="1"/>
  <c r="O658" i="1" s="1"/>
  <c r="K658" i="1"/>
  <c r="L658" i="1"/>
  <c r="I659" i="1"/>
  <c r="J659" i="1"/>
  <c r="M659" i="1" s="1"/>
  <c r="K659" i="1"/>
  <c r="L659" i="1"/>
  <c r="N659" i="1" s="1"/>
  <c r="O659" i="1" s="1"/>
  <c r="I660" i="1"/>
  <c r="J660" i="1"/>
  <c r="M660" i="1" s="1"/>
  <c r="N660" i="1" s="1"/>
  <c r="O660" i="1" s="1"/>
  <c r="K660" i="1"/>
  <c r="L660" i="1"/>
  <c r="I661" i="1"/>
  <c r="J661" i="1"/>
  <c r="K661" i="1"/>
  <c r="L661" i="1"/>
  <c r="M661" i="1"/>
  <c r="N661" i="1" s="1"/>
  <c r="O661" i="1" s="1"/>
  <c r="I662" i="1"/>
  <c r="J662" i="1"/>
  <c r="K662" i="1"/>
  <c r="L662" i="1"/>
  <c r="M662" i="1"/>
  <c r="I663" i="1"/>
  <c r="J663" i="1"/>
  <c r="K663" i="1"/>
  <c r="L663" i="1"/>
  <c r="N663" i="1" s="1"/>
  <c r="O663" i="1" s="1"/>
  <c r="M663" i="1"/>
  <c r="I664" i="1"/>
  <c r="J664" i="1"/>
  <c r="M664" i="1" s="1"/>
  <c r="N664" i="1" s="1"/>
  <c r="O664" i="1" s="1"/>
  <c r="K664" i="1"/>
  <c r="L664" i="1"/>
  <c r="I665" i="1"/>
  <c r="J665" i="1"/>
  <c r="K665" i="1"/>
  <c r="L665" i="1"/>
  <c r="M665" i="1"/>
  <c r="N665" i="1" s="1"/>
  <c r="O665" i="1"/>
  <c r="I666" i="1"/>
  <c r="J666" i="1"/>
  <c r="M666" i="1" s="1"/>
  <c r="K666" i="1"/>
  <c r="L666" i="1"/>
  <c r="N666" i="1" s="1"/>
  <c r="O666" i="1" s="1"/>
  <c r="I667" i="1"/>
  <c r="J667" i="1"/>
  <c r="K667" i="1"/>
  <c r="L667" i="1"/>
  <c r="M667" i="1"/>
  <c r="N667" i="1" s="1"/>
  <c r="O667" i="1" s="1"/>
  <c r="I668" i="1"/>
  <c r="J668" i="1"/>
  <c r="M668" i="1" s="1"/>
  <c r="K668" i="1"/>
  <c r="L668" i="1"/>
  <c r="I669" i="1"/>
  <c r="J669" i="1"/>
  <c r="K669" i="1"/>
  <c r="L669" i="1"/>
  <c r="N669" i="1" s="1"/>
  <c r="O669" i="1" s="1"/>
  <c r="M669" i="1"/>
  <c r="I670" i="1"/>
  <c r="J670" i="1"/>
  <c r="M670" i="1" s="1"/>
  <c r="N670" i="1" s="1"/>
  <c r="O670" i="1" s="1"/>
  <c r="K670" i="1"/>
  <c r="L670" i="1"/>
  <c r="I671" i="1"/>
  <c r="J671" i="1"/>
  <c r="M671" i="1" s="1"/>
  <c r="K671" i="1"/>
  <c r="L671" i="1"/>
  <c r="I672" i="1"/>
  <c r="J672" i="1"/>
  <c r="M672" i="1" s="1"/>
  <c r="N672" i="1" s="1"/>
  <c r="O672" i="1" s="1"/>
  <c r="K672" i="1"/>
  <c r="L672" i="1"/>
  <c r="I673" i="1"/>
  <c r="J673" i="1"/>
  <c r="K673" i="1"/>
  <c r="L673" i="1"/>
  <c r="M673" i="1"/>
  <c r="N673" i="1" s="1"/>
  <c r="O673" i="1" s="1"/>
  <c r="I674" i="1"/>
  <c r="J674" i="1"/>
  <c r="K674" i="1"/>
  <c r="L674" i="1"/>
  <c r="M674" i="1"/>
  <c r="I675" i="1"/>
  <c r="J675" i="1"/>
  <c r="K675" i="1"/>
  <c r="L675" i="1"/>
  <c r="N675" i="1" s="1"/>
  <c r="O675" i="1" s="1"/>
  <c r="M675" i="1"/>
  <c r="I676" i="1"/>
  <c r="J676" i="1"/>
  <c r="M676" i="1" s="1"/>
  <c r="N676" i="1" s="1"/>
  <c r="O676" i="1" s="1"/>
  <c r="K676" i="1"/>
  <c r="L676" i="1"/>
  <c r="I677" i="1"/>
  <c r="J677" i="1"/>
  <c r="K677" i="1"/>
  <c r="L677" i="1"/>
  <c r="M677" i="1"/>
  <c r="N677" i="1" s="1"/>
  <c r="O677" i="1" s="1"/>
  <c r="I678" i="1"/>
  <c r="J678" i="1"/>
  <c r="M678" i="1" s="1"/>
  <c r="K678" i="1"/>
  <c r="L678" i="1"/>
  <c r="I679" i="1"/>
  <c r="J679" i="1"/>
  <c r="K679" i="1"/>
  <c r="L679" i="1"/>
  <c r="M679" i="1"/>
  <c r="N679" i="1" s="1"/>
  <c r="O679" i="1" s="1"/>
  <c r="I680" i="1"/>
  <c r="J680" i="1"/>
  <c r="M680" i="1" s="1"/>
  <c r="K680" i="1"/>
  <c r="L680" i="1"/>
  <c r="N680" i="1" s="1"/>
  <c r="O680" i="1" s="1"/>
  <c r="I681" i="1"/>
  <c r="J681" i="1"/>
  <c r="K681" i="1"/>
  <c r="L681" i="1"/>
  <c r="N681" i="1" s="1"/>
  <c r="O681" i="1" s="1"/>
  <c r="M681" i="1"/>
  <c r="I682" i="1"/>
  <c r="J682" i="1"/>
  <c r="M682" i="1" s="1"/>
  <c r="N682" i="1" s="1"/>
  <c r="O682" i="1" s="1"/>
  <c r="K682" i="1"/>
  <c r="L682" i="1"/>
  <c r="I683" i="1"/>
  <c r="J683" i="1"/>
  <c r="M683" i="1" s="1"/>
  <c r="K683" i="1"/>
  <c r="L683" i="1"/>
  <c r="N683" i="1" s="1"/>
  <c r="O683" i="1" s="1"/>
  <c r="I684" i="1"/>
  <c r="J684" i="1"/>
  <c r="M684" i="1" s="1"/>
  <c r="K684" i="1"/>
  <c r="L684" i="1"/>
  <c r="N684" i="1"/>
  <c r="O684" i="1"/>
  <c r="I685" i="1"/>
  <c r="J685" i="1"/>
  <c r="K685" i="1"/>
  <c r="L685" i="1"/>
  <c r="M685" i="1"/>
  <c r="N685" i="1" s="1"/>
  <c r="O685" i="1" s="1"/>
  <c r="I686" i="1"/>
  <c r="J686" i="1"/>
  <c r="K686" i="1"/>
  <c r="L686" i="1"/>
  <c r="M686" i="1"/>
  <c r="I687" i="1"/>
  <c r="J687" i="1"/>
  <c r="K687" i="1"/>
  <c r="L687" i="1"/>
  <c r="N687" i="1" s="1"/>
  <c r="O687" i="1" s="1"/>
  <c r="M687" i="1"/>
  <c r="I688" i="1"/>
  <c r="J688" i="1"/>
  <c r="M688" i="1" s="1"/>
  <c r="N688" i="1" s="1"/>
  <c r="O688" i="1" s="1"/>
  <c r="K688" i="1"/>
  <c r="L688" i="1"/>
  <c r="I689" i="1"/>
  <c r="J689" i="1"/>
  <c r="K689" i="1"/>
  <c r="L689" i="1"/>
  <c r="M689" i="1"/>
  <c r="N689" i="1" s="1"/>
  <c r="O689" i="1" s="1"/>
  <c r="I690" i="1"/>
  <c r="J690" i="1"/>
  <c r="M690" i="1" s="1"/>
  <c r="K690" i="1"/>
  <c r="L690" i="1"/>
  <c r="N690" i="1" s="1"/>
  <c r="O690" i="1" s="1"/>
  <c r="I691" i="1"/>
  <c r="J691" i="1"/>
  <c r="K691" i="1"/>
  <c r="L691" i="1"/>
  <c r="M691" i="1"/>
  <c r="N691" i="1"/>
  <c r="O691" i="1" s="1"/>
  <c r="I692" i="1"/>
  <c r="J692" i="1"/>
  <c r="M692" i="1" s="1"/>
  <c r="K692" i="1"/>
  <c r="L692" i="1"/>
  <c r="I693" i="1"/>
  <c r="J693" i="1"/>
  <c r="K693" i="1"/>
  <c r="L693" i="1"/>
  <c r="N693" i="1" s="1"/>
  <c r="M693" i="1"/>
  <c r="O693" i="1"/>
  <c r="I694" i="1"/>
  <c r="J694" i="1"/>
  <c r="M694" i="1" s="1"/>
  <c r="N694" i="1" s="1"/>
  <c r="O694" i="1" s="1"/>
  <c r="K694" i="1"/>
  <c r="L694" i="1"/>
  <c r="I695" i="1"/>
  <c r="J695" i="1"/>
  <c r="K695" i="1"/>
  <c r="L695" i="1"/>
  <c r="M695" i="1"/>
  <c r="I696" i="1"/>
  <c r="J696" i="1"/>
  <c r="M696" i="1" s="1"/>
  <c r="K696" i="1"/>
  <c r="L696" i="1"/>
  <c r="N696" i="1"/>
  <c r="O696" i="1"/>
  <c r="I697" i="1"/>
  <c r="J697" i="1"/>
  <c r="K697" i="1"/>
  <c r="L697" i="1"/>
  <c r="M697" i="1"/>
  <c r="N697" i="1" s="1"/>
  <c r="O697" i="1" s="1"/>
  <c r="I698" i="1"/>
  <c r="J698" i="1"/>
  <c r="K698" i="1"/>
  <c r="L698" i="1"/>
  <c r="M698" i="1"/>
  <c r="I699" i="1"/>
  <c r="J699" i="1"/>
  <c r="K699" i="1"/>
  <c r="L699" i="1"/>
  <c r="N699" i="1" s="1"/>
  <c r="O699" i="1" s="1"/>
  <c r="M699" i="1"/>
  <c r="I700" i="1"/>
  <c r="J700" i="1"/>
  <c r="M700" i="1" s="1"/>
  <c r="N700" i="1" s="1"/>
  <c r="O700" i="1" s="1"/>
  <c r="K700" i="1"/>
  <c r="L700" i="1"/>
  <c r="I701" i="1"/>
  <c r="J701" i="1"/>
  <c r="K701" i="1"/>
  <c r="L701" i="1"/>
  <c r="M701" i="1"/>
  <c r="N701" i="1" s="1"/>
  <c r="O701" i="1"/>
  <c r="I702" i="1"/>
  <c r="J702" i="1"/>
  <c r="M702" i="1" s="1"/>
  <c r="K702" i="1"/>
  <c r="L702" i="1"/>
  <c r="N702" i="1" s="1"/>
  <c r="O702" i="1" s="1"/>
  <c r="I703" i="1"/>
  <c r="J703" i="1"/>
  <c r="K703" i="1"/>
  <c r="L703" i="1"/>
  <c r="M703" i="1"/>
  <c r="N703" i="1" s="1"/>
  <c r="O703" i="1" s="1"/>
  <c r="I704" i="1"/>
  <c r="J704" i="1"/>
  <c r="M704" i="1" s="1"/>
  <c r="K704" i="1"/>
  <c r="L704" i="1"/>
  <c r="N704" i="1" s="1"/>
  <c r="O704" i="1" s="1"/>
  <c r="I705" i="1"/>
  <c r="J705" i="1"/>
  <c r="K705" i="1"/>
  <c r="L705" i="1"/>
  <c r="N705" i="1" s="1"/>
  <c r="M705" i="1"/>
  <c r="O705" i="1"/>
  <c r="I706" i="1"/>
  <c r="J706" i="1"/>
  <c r="M706" i="1" s="1"/>
  <c r="K706" i="1"/>
  <c r="L706" i="1"/>
  <c r="N706" i="1"/>
  <c r="O706" i="1" s="1"/>
  <c r="I707" i="1"/>
  <c r="J707" i="1"/>
  <c r="M707" i="1" s="1"/>
  <c r="K707" i="1"/>
  <c r="L707" i="1"/>
  <c r="I708" i="1"/>
  <c r="J708" i="1"/>
  <c r="M708" i="1" s="1"/>
  <c r="K708" i="1"/>
  <c r="L708" i="1"/>
  <c r="N708" i="1" s="1"/>
  <c r="O708" i="1" s="1"/>
  <c r="I709" i="1"/>
  <c r="J709" i="1"/>
  <c r="K709" i="1"/>
  <c r="L709" i="1"/>
  <c r="M709" i="1"/>
  <c r="N709" i="1" s="1"/>
  <c r="O709" i="1" s="1"/>
  <c r="I710" i="1"/>
  <c r="J710" i="1"/>
  <c r="K710" i="1"/>
  <c r="L710" i="1"/>
  <c r="M710" i="1"/>
  <c r="I711" i="1"/>
  <c r="J711" i="1"/>
  <c r="K711" i="1"/>
  <c r="L711" i="1"/>
  <c r="N711" i="1" s="1"/>
  <c r="O711" i="1" s="1"/>
  <c r="M711" i="1"/>
  <c r="I712" i="1"/>
  <c r="J712" i="1"/>
  <c r="M712" i="1" s="1"/>
  <c r="N712" i="1" s="1"/>
  <c r="O712" i="1" s="1"/>
  <c r="K712" i="1"/>
  <c r="L712" i="1"/>
  <c r="I713" i="1"/>
  <c r="J713" i="1"/>
  <c r="K713" i="1"/>
  <c r="L713" i="1"/>
  <c r="M713" i="1"/>
  <c r="N713" i="1" s="1"/>
  <c r="O713" i="1" s="1"/>
  <c r="I714" i="1"/>
  <c r="J714" i="1"/>
  <c r="M714" i="1" s="1"/>
  <c r="K714" i="1"/>
  <c r="L714" i="1"/>
  <c r="N714" i="1"/>
  <c r="O714" i="1" s="1"/>
  <c r="I715" i="1"/>
  <c r="J715" i="1"/>
  <c r="K715" i="1"/>
  <c r="L715" i="1"/>
  <c r="M715" i="1"/>
  <c r="N715" i="1"/>
  <c r="O715" i="1" s="1"/>
  <c r="I716" i="1"/>
  <c r="J716" i="1"/>
  <c r="M716" i="1" s="1"/>
  <c r="K716" i="1"/>
  <c r="L716" i="1"/>
  <c r="N716" i="1" s="1"/>
  <c r="O716" i="1" s="1"/>
  <c r="I717" i="1"/>
  <c r="J717" i="1"/>
  <c r="K717" i="1"/>
  <c r="L717" i="1"/>
  <c r="N717" i="1" s="1"/>
  <c r="O717" i="1" s="1"/>
  <c r="M717" i="1"/>
  <c r="I718" i="1"/>
  <c r="J718" i="1"/>
  <c r="M718" i="1" s="1"/>
  <c r="N718" i="1" s="1"/>
  <c r="O718" i="1" s="1"/>
  <c r="K718" i="1"/>
  <c r="L718" i="1"/>
  <c r="I719" i="1"/>
  <c r="J719" i="1"/>
  <c r="K719" i="1"/>
  <c r="L719" i="1"/>
  <c r="M719" i="1"/>
  <c r="I720" i="1"/>
  <c r="J720" i="1"/>
  <c r="M720" i="1" s="1"/>
  <c r="N720" i="1" s="1"/>
  <c r="O720" i="1" s="1"/>
  <c r="K720" i="1"/>
  <c r="L720" i="1"/>
  <c r="I721" i="1"/>
  <c r="J721" i="1"/>
  <c r="K721" i="1"/>
  <c r="L721" i="1"/>
  <c r="M721" i="1"/>
  <c r="N721" i="1" s="1"/>
  <c r="O721" i="1" s="1"/>
  <c r="I722" i="1"/>
  <c r="J722" i="1"/>
  <c r="M722" i="1" s="1"/>
  <c r="K722" i="1"/>
  <c r="L722" i="1"/>
  <c r="I723" i="1"/>
  <c r="J723" i="1"/>
  <c r="K723" i="1"/>
  <c r="L723" i="1"/>
  <c r="N723" i="1" s="1"/>
  <c r="O723" i="1" s="1"/>
  <c r="M723" i="1"/>
  <c r="I724" i="1"/>
  <c r="J724" i="1"/>
  <c r="M724" i="1" s="1"/>
  <c r="K724" i="1"/>
  <c r="L724" i="1"/>
  <c r="N724" i="1"/>
  <c r="O724" i="1" s="1"/>
  <c r="I725" i="1"/>
  <c r="J725" i="1"/>
  <c r="K725" i="1"/>
  <c r="L725" i="1"/>
  <c r="M725" i="1"/>
  <c r="N725" i="1" s="1"/>
  <c r="O725" i="1"/>
  <c r="I726" i="1"/>
  <c r="J726" i="1"/>
  <c r="M726" i="1" s="1"/>
  <c r="K726" i="1"/>
  <c r="L726" i="1"/>
  <c r="N726" i="1"/>
  <c r="O726" i="1" s="1"/>
  <c r="I727" i="1"/>
  <c r="J727" i="1"/>
  <c r="K727" i="1"/>
  <c r="L727" i="1"/>
  <c r="M727" i="1"/>
  <c r="N727" i="1"/>
  <c r="O727" i="1" s="1"/>
  <c r="I728" i="1"/>
  <c r="J728" i="1"/>
  <c r="M728" i="1" s="1"/>
  <c r="K728" i="1"/>
  <c r="L728" i="1"/>
  <c r="I729" i="1"/>
  <c r="J729" i="1"/>
  <c r="K729" i="1"/>
  <c r="L729" i="1"/>
  <c r="M729" i="1"/>
  <c r="N729" i="1"/>
  <c r="O729" i="1"/>
  <c r="I730" i="1"/>
  <c r="J730" i="1"/>
  <c r="M730" i="1" s="1"/>
  <c r="N730" i="1" s="1"/>
  <c r="O730" i="1" s="1"/>
  <c r="K730" i="1"/>
  <c r="L730" i="1"/>
  <c r="I731" i="1"/>
  <c r="J731" i="1"/>
  <c r="M731" i="1" s="1"/>
  <c r="K731" i="1"/>
  <c r="L731" i="1"/>
  <c r="I732" i="1"/>
  <c r="J732" i="1"/>
  <c r="M732" i="1" s="1"/>
  <c r="K732" i="1"/>
  <c r="L732" i="1"/>
  <c r="N732" i="1"/>
  <c r="O732" i="1" s="1"/>
  <c r="I733" i="1"/>
  <c r="J733" i="1"/>
  <c r="M733" i="1" s="1"/>
  <c r="N733" i="1" s="1"/>
  <c r="O733" i="1" s="1"/>
  <c r="K733" i="1"/>
  <c r="L733" i="1"/>
  <c r="I734" i="1"/>
  <c r="J734" i="1"/>
  <c r="M734" i="1" s="1"/>
  <c r="K734" i="1"/>
  <c r="L734" i="1"/>
  <c r="I735" i="1"/>
  <c r="J735" i="1"/>
  <c r="K735" i="1"/>
  <c r="L735" i="1"/>
  <c r="N735" i="1" s="1"/>
  <c r="O735" i="1" s="1"/>
  <c r="M735" i="1"/>
  <c r="I736" i="1"/>
  <c r="J736" i="1"/>
  <c r="M736" i="1" s="1"/>
  <c r="N736" i="1" s="1"/>
  <c r="O736" i="1" s="1"/>
  <c r="K736" i="1"/>
  <c r="L736" i="1"/>
  <c r="I737" i="1"/>
  <c r="J737" i="1"/>
  <c r="K737" i="1"/>
  <c r="L737" i="1"/>
  <c r="M737" i="1"/>
  <c r="N737" i="1" s="1"/>
  <c r="O737" i="1"/>
  <c r="I738" i="1"/>
  <c r="J738" i="1"/>
  <c r="M738" i="1" s="1"/>
  <c r="K738" i="1"/>
  <c r="L738" i="1"/>
  <c r="N738" i="1" s="1"/>
  <c r="O738" i="1" s="1"/>
  <c r="I739" i="1"/>
  <c r="J739" i="1"/>
  <c r="K739" i="1"/>
  <c r="L739" i="1"/>
  <c r="M739" i="1"/>
  <c r="N739" i="1" s="1"/>
  <c r="O739" i="1" s="1"/>
  <c r="I740" i="1"/>
  <c r="J740" i="1"/>
  <c r="M740" i="1" s="1"/>
  <c r="K740" i="1"/>
  <c r="L740" i="1"/>
  <c r="N740" i="1" s="1"/>
  <c r="O740" i="1" s="1"/>
  <c r="I741" i="1"/>
  <c r="J741" i="1"/>
  <c r="K741" i="1"/>
  <c r="L741" i="1"/>
  <c r="M741" i="1"/>
  <c r="N741" i="1"/>
  <c r="O741" i="1"/>
  <c r="I742" i="1"/>
  <c r="J742" i="1"/>
  <c r="M742" i="1" s="1"/>
  <c r="K742" i="1"/>
  <c r="L742" i="1"/>
  <c r="N742" i="1"/>
  <c r="O742" i="1" s="1"/>
  <c r="I743" i="1"/>
  <c r="J743" i="1"/>
  <c r="K743" i="1"/>
  <c r="L743" i="1"/>
  <c r="M743" i="1"/>
  <c r="I744" i="1"/>
  <c r="J744" i="1"/>
  <c r="M744" i="1" s="1"/>
  <c r="K744" i="1"/>
  <c r="L744" i="1"/>
  <c r="N744" i="1"/>
  <c r="O744" i="1"/>
  <c r="I745" i="1"/>
  <c r="J745" i="1"/>
  <c r="K745" i="1"/>
  <c r="L745" i="1"/>
  <c r="M745" i="1"/>
  <c r="N745" i="1" s="1"/>
  <c r="O745" i="1" s="1"/>
  <c r="I746" i="1"/>
  <c r="J746" i="1"/>
  <c r="M746" i="1" s="1"/>
  <c r="K746" i="1"/>
  <c r="L746" i="1"/>
  <c r="I747" i="1"/>
  <c r="J747" i="1"/>
  <c r="K747" i="1"/>
  <c r="L747" i="1"/>
  <c r="N747" i="1" s="1"/>
  <c r="O747" i="1" s="1"/>
  <c r="M747" i="1"/>
  <c r="I748" i="1"/>
  <c r="J748" i="1"/>
  <c r="M748" i="1" s="1"/>
  <c r="N748" i="1" s="1"/>
  <c r="O748" i="1" s="1"/>
  <c r="K748" i="1"/>
  <c r="L748" i="1"/>
  <c r="I749" i="1"/>
  <c r="J749" i="1"/>
  <c r="K749" i="1"/>
  <c r="L749" i="1"/>
  <c r="M749" i="1"/>
  <c r="N749" i="1" s="1"/>
  <c r="O749" i="1"/>
  <c r="I750" i="1"/>
  <c r="J750" i="1"/>
  <c r="M750" i="1" s="1"/>
  <c r="N750" i="1" s="1"/>
  <c r="O750" i="1" s="1"/>
  <c r="K750" i="1"/>
  <c r="L750" i="1"/>
  <c r="I751" i="1"/>
  <c r="J751" i="1"/>
  <c r="K751" i="1"/>
  <c r="L751" i="1"/>
  <c r="M751" i="1"/>
  <c r="N751" i="1" s="1"/>
  <c r="O751" i="1" s="1"/>
  <c r="I752" i="1"/>
  <c r="J752" i="1"/>
  <c r="M752" i="1" s="1"/>
  <c r="K752" i="1"/>
  <c r="L752" i="1"/>
  <c r="I753" i="1"/>
  <c r="J753" i="1"/>
  <c r="K753" i="1"/>
  <c r="L753" i="1"/>
  <c r="N753" i="1" s="1"/>
  <c r="O753" i="1" s="1"/>
  <c r="M753" i="1"/>
  <c r="I754" i="1"/>
  <c r="J754" i="1"/>
  <c r="M754" i="1" s="1"/>
  <c r="N754" i="1" s="1"/>
  <c r="O754" i="1" s="1"/>
  <c r="K754" i="1"/>
  <c r="L754" i="1"/>
  <c r="I755" i="1"/>
  <c r="J755" i="1"/>
  <c r="K755" i="1"/>
  <c r="L755" i="1"/>
  <c r="M755" i="1"/>
  <c r="I756" i="1"/>
  <c r="J756" i="1"/>
  <c r="M756" i="1" s="1"/>
  <c r="K756" i="1"/>
  <c r="L756" i="1"/>
  <c r="N756" i="1" s="1"/>
  <c r="O756" i="1" s="1"/>
  <c r="I757" i="1"/>
  <c r="J757" i="1"/>
  <c r="K757" i="1"/>
  <c r="L757" i="1"/>
  <c r="M757" i="1"/>
  <c r="N757" i="1" s="1"/>
  <c r="O757" i="1" s="1"/>
  <c r="I758" i="1"/>
  <c r="J758" i="1"/>
  <c r="K758" i="1"/>
  <c r="L758" i="1"/>
  <c r="M758" i="1"/>
  <c r="I759" i="1"/>
  <c r="J759" i="1"/>
  <c r="K759" i="1"/>
  <c r="L759" i="1"/>
  <c r="N759" i="1" s="1"/>
  <c r="M759" i="1"/>
  <c r="O759" i="1"/>
  <c r="I760" i="1"/>
  <c r="J760" i="1"/>
  <c r="K760" i="1"/>
  <c r="L760" i="1"/>
  <c r="M760" i="1"/>
  <c r="N760" i="1"/>
  <c r="O760" i="1" s="1"/>
  <c r="I761" i="1"/>
  <c r="J761" i="1"/>
  <c r="K761" i="1"/>
  <c r="L761" i="1"/>
  <c r="M761" i="1"/>
  <c r="N761" i="1" s="1"/>
  <c r="O761" i="1"/>
  <c r="I762" i="1"/>
  <c r="J762" i="1"/>
  <c r="M762" i="1" s="1"/>
  <c r="K762" i="1"/>
  <c r="L762" i="1"/>
  <c r="N762" i="1"/>
  <c r="O762" i="1" s="1"/>
  <c r="I763" i="1"/>
  <c r="J763" i="1"/>
  <c r="K763" i="1"/>
  <c r="L763" i="1"/>
  <c r="M763" i="1"/>
  <c r="N763" i="1"/>
  <c r="O763" i="1" s="1"/>
  <c r="I764" i="1"/>
  <c r="J764" i="1"/>
  <c r="M764" i="1" s="1"/>
  <c r="K764" i="1"/>
  <c r="L764" i="1"/>
  <c r="I765" i="1"/>
  <c r="J765" i="1"/>
  <c r="K765" i="1"/>
  <c r="L765" i="1"/>
  <c r="M765" i="1"/>
  <c r="N765" i="1"/>
  <c r="O765" i="1"/>
  <c r="I766" i="1"/>
  <c r="J766" i="1"/>
  <c r="M766" i="1" s="1"/>
  <c r="N766" i="1" s="1"/>
  <c r="O766" i="1" s="1"/>
  <c r="K766" i="1"/>
  <c r="L766" i="1"/>
  <c r="I767" i="1"/>
  <c r="J767" i="1"/>
  <c r="M767" i="1" s="1"/>
  <c r="K767" i="1"/>
  <c r="L767" i="1"/>
  <c r="I768" i="1"/>
  <c r="J768" i="1"/>
  <c r="M768" i="1" s="1"/>
  <c r="K768" i="1"/>
  <c r="L768" i="1"/>
  <c r="N768" i="1"/>
  <c r="O768" i="1" s="1"/>
  <c r="I769" i="1"/>
  <c r="J769" i="1"/>
  <c r="M769" i="1" s="1"/>
  <c r="N769" i="1" s="1"/>
  <c r="O769" i="1" s="1"/>
  <c r="K769" i="1"/>
  <c r="L769" i="1"/>
  <c r="I770" i="1"/>
  <c r="J770" i="1"/>
  <c r="M770" i="1" s="1"/>
  <c r="K770" i="1"/>
  <c r="L770" i="1"/>
  <c r="I771" i="1"/>
  <c r="J771" i="1"/>
  <c r="K771" i="1"/>
  <c r="L771" i="1"/>
  <c r="N771" i="1" s="1"/>
  <c r="M771" i="1"/>
  <c r="O771" i="1"/>
  <c r="I772" i="1"/>
  <c r="J772" i="1"/>
  <c r="K772" i="1"/>
  <c r="L772" i="1"/>
  <c r="N772" i="1" s="1"/>
  <c r="O772" i="1" s="1"/>
  <c r="M772" i="1"/>
  <c r="I773" i="1"/>
  <c r="J773" i="1"/>
  <c r="K773" i="1"/>
  <c r="L773" i="1"/>
  <c r="M773" i="1"/>
  <c r="N773" i="1" s="1"/>
  <c r="O773" i="1"/>
  <c r="I774" i="1"/>
  <c r="J774" i="1"/>
  <c r="M774" i="1" s="1"/>
  <c r="K774" i="1"/>
  <c r="L774" i="1"/>
  <c r="N774" i="1"/>
  <c r="O774" i="1" s="1"/>
  <c r="I775" i="1"/>
  <c r="J775" i="1"/>
  <c r="K775" i="1"/>
  <c r="L775" i="1"/>
  <c r="M775" i="1"/>
  <c r="N775" i="1"/>
  <c r="O775" i="1"/>
  <c r="I776" i="1"/>
  <c r="J776" i="1"/>
  <c r="M776" i="1" s="1"/>
  <c r="K776" i="1"/>
  <c r="L776" i="1"/>
  <c r="N776" i="1"/>
  <c r="O776" i="1" s="1"/>
  <c r="I777" i="1"/>
  <c r="J777" i="1"/>
  <c r="K777" i="1"/>
  <c r="L777" i="1"/>
  <c r="N777" i="1" s="1"/>
  <c r="O777" i="1" s="1"/>
  <c r="M777" i="1"/>
  <c r="I778" i="1"/>
  <c r="J778" i="1"/>
  <c r="M778" i="1" s="1"/>
  <c r="N778" i="1" s="1"/>
  <c r="O778" i="1" s="1"/>
  <c r="K778" i="1"/>
  <c r="L778" i="1"/>
  <c r="I779" i="1"/>
  <c r="J779" i="1"/>
  <c r="M779" i="1" s="1"/>
  <c r="K779" i="1"/>
  <c r="L779" i="1"/>
  <c r="N779" i="1" s="1"/>
  <c r="O779" i="1" s="1"/>
  <c r="I780" i="1"/>
  <c r="J780" i="1"/>
  <c r="M780" i="1" s="1"/>
  <c r="K780" i="1"/>
  <c r="L780" i="1"/>
  <c r="N780" i="1" s="1"/>
  <c r="O780" i="1" s="1"/>
  <c r="I781" i="1"/>
  <c r="J781" i="1"/>
  <c r="M781" i="1" s="1"/>
  <c r="N781" i="1" s="1"/>
  <c r="O781" i="1" s="1"/>
  <c r="K781" i="1"/>
  <c r="L781" i="1"/>
  <c r="I782" i="1"/>
  <c r="J782" i="1"/>
  <c r="M782" i="1" s="1"/>
  <c r="K782" i="1"/>
  <c r="L782" i="1"/>
  <c r="N782" i="1" s="1"/>
  <c r="O782" i="1" s="1"/>
  <c r="I783" i="1"/>
  <c r="J783" i="1"/>
  <c r="K783" i="1"/>
  <c r="L783" i="1"/>
  <c r="M783" i="1"/>
  <c r="I784" i="1"/>
  <c r="J784" i="1"/>
  <c r="M784" i="1" s="1"/>
  <c r="K784" i="1"/>
  <c r="L784" i="1"/>
  <c r="I785" i="1"/>
  <c r="J785" i="1"/>
  <c r="K785" i="1"/>
  <c r="L785" i="1"/>
  <c r="M785" i="1"/>
  <c r="N785" i="1" s="1"/>
  <c r="O785" i="1"/>
  <c r="I786" i="1"/>
  <c r="J786" i="1"/>
  <c r="M786" i="1" s="1"/>
  <c r="N786" i="1" s="1"/>
  <c r="O786" i="1" s="1"/>
  <c r="K786" i="1"/>
  <c r="L786" i="1"/>
  <c r="I787" i="1"/>
  <c r="J787" i="1"/>
  <c r="K787" i="1"/>
  <c r="L787" i="1"/>
  <c r="M787" i="1"/>
  <c r="N787" i="1"/>
  <c r="O787" i="1"/>
  <c r="I788" i="1"/>
  <c r="J788" i="1"/>
  <c r="M788" i="1" s="1"/>
  <c r="N788" i="1" s="1"/>
  <c r="O788" i="1" s="1"/>
  <c r="K788" i="1"/>
  <c r="L788" i="1"/>
  <c r="I789" i="1"/>
  <c r="J789" i="1"/>
  <c r="K789" i="1"/>
  <c r="L789" i="1"/>
  <c r="N789" i="1" s="1"/>
  <c r="O789" i="1" s="1"/>
  <c r="M789" i="1"/>
  <c r="I790" i="1"/>
  <c r="J790" i="1"/>
  <c r="M790" i="1" s="1"/>
  <c r="N790" i="1" s="1"/>
  <c r="O790" i="1" s="1"/>
  <c r="K790" i="1"/>
  <c r="L790" i="1"/>
  <c r="I791" i="1"/>
  <c r="J791" i="1"/>
  <c r="M791" i="1" s="1"/>
  <c r="K791" i="1"/>
  <c r="L791" i="1"/>
  <c r="I792" i="1"/>
  <c r="J792" i="1"/>
  <c r="M792" i="1" s="1"/>
  <c r="K792" i="1"/>
  <c r="L792" i="1"/>
  <c r="N792" i="1" s="1"/>
  <c r="O792" i="1" s="1"/>
  <c r="I793" i="1"/>
  <c r="J793" i="1"/>
  <c r="M793" i="1" s="1"/>
  <c r="N793" i="1" s="1"/>
  <c r="O793" i="1" s="1"/>
  <c r="K793" i="1"/>
  <c r="L793" i="1"/>
  <c r="I794" i="1"/>
  <c r="J794" i="1"/>
  <c r="M794" i="1" s="1"/>
  <c r="K794" i="1"/>
  <c r="L794" i="1"/>
  <c r="I795" i="1"/>
  <c r="J795" i="1"/>
  <c r="K795" i="1"/>
  <c r="L795" i="1"/>
  <c r="M795" i="1"/>
  <c r="I796" i="1"/>
  <c r="J796" i="1"/>
  <c r="M796" i="1" s="1"/>
  <c r="K796" i="1"/>
  <c r="L796" i="1"/>
  <c r="I797" i="1"/>
  <c r="J797" i="1"/>
  <c r="K797" i="1"/>
  <c r="L797" i="1"/>
  <c r="M797" i="1"/>
  <c r="N797" i="1" s="1"/>
  <c r="O797" i="1"/>
  <c r="I798" i="1"/>
  <c r="J798" i="1"/>
  <c r="M798" i="1" s="1"/>
  <c r="N798" i="1" s="1"/>
  <c r="O798" i="1" s="1"/>
  <c r="K798" i="1"/>
  <c r="L798" i="1"/>
  <c r="I799" i="1"/>
  <c r="J799" i="1"/>
  <c r="K799" i="1"/>
  <c r="L799" i="1"/>
  <c r="M799" i="1"/>
  <c r="N799" i="1"/>
  <c r="O799" i="1"/>
  <c r="I800" i="1"/>
  <c r="J800" i="1"/>
  <c r="M800" i="1" s="1"/>
  <c r="N800" i="1" s="1"/>
  <c r="O800" i="1" s="1"/>
  <c r="K800" i="1"/>
  <c r="L800" i="1"/>
  <c r="I801" i="1"/>
  <c r="J801" i="1"/>
  <c r="K801" i="1"/>
  <c r="L801" i="1"/>
  <c r="N801" i="1" s="1"/>
  <c r="O801" i="1" s="1"/>
  <c r="M801" i="1"/>
  <c r="I802" i="1"/>
  <c r="J802" i="1"/>
  <c r="M802" i="1" s="1"/>
  <c r="N802" i="1" s="1"/>
  <c r="O802" i="1" s="1"/>
  <c r="K802" i="1"/>
  <c r="L802" i="1"/>
  <c r="I803" i="1"/>
  <c r="J803" i="1"/>
  <c r="M803" i="1" s="1"/>
  <c r="K803" i="1"/>
  <c r="L803" i="1"/>
  <c r="I804" i="1"/>
  <c r="J804" i="1"/>
  <c r="M804" i="1" s="1"/>
  <c r="K804" i="1"/>
  <c r="L804" i="1"/>
  <c r="N804" i="1" s="1"/>
  <c r="O804" i="1" s="1"/>
  <c r="I805" i="1"/>
  <c r="J805" i="1"/>
  <c r="M805" i="1" s="1"/>
  <c r="N805" i="1" s="1"/>
  <c r="O805" i="1" s="1"/>
  <c r="K805" i="1"/>
  <c r="L805" i="1"/>
  <c r="I806" i="1"/>
  <c r="J806" i="1"/>
  <c r="M806" i="1" s="1"/>
  <c r="K806" i="1"/>
  <c r="L806" i="1"/>
  <c r="I807" i="1"/>
  <c r="J807" i="1"/>
  <c r="K807" i="1"/>
  <c r="L807" i="1"/>
  <c r="M807" i="1"/>
  <c r="I808" i="1"/>
  <c r="J808" i="1"/>
  <c r="M808" i="1" s="1"/>
  <c r="K808" i="1"/>
  <c r="L808" i="1"/>
  <c r="N808" i="1" s="1"/>
  <c r="O808" i="1" s="1"/>
  <c r="I809" i="1"/>
  <c r="J809" i="1"/>
  <c r="M809" i="1" s="1"/>
  <c r="N809" i="1" s="1"/>
  <c r="O809" i="1" s="1"/>
  <c r="K809" i="1"/>
  <c r="L809" i="1"/>
  <c r="I810" i="1"/>
  <c r="J810" i="1"/>
  <c r="M810" i="1" s="1"/>
  <c r="N810" i="1" s="1"/>
  <c r="O810" i="1" s="1"/>
  <c r="K810" i="1"/>
  <c r="L810" i="1"/>
  <c r="I811" i="1"/>
  <c r="J811" i="1"/>
  <c r="K811" i="1"/>
  <c r="L811" i="1"/>
  <c r="M811" i="1"/>
  <c r="N811" i="1"/>
  <c r="O811" i="1"/>
  <c r="I812" i="1"/>
  <c r="J812" i="1"/>
  <c r="M812" i="1" s="1"/>
  <c r="N812" i="1" s="1"/>
  <c r="O812" i="1" s="1"/>
  <c r="K812" i="1"/>
  <c r="L812" i="1"/>
  <c r="I813" i="1"/>
  <c r="J813" i="1"/>
  <c r="K813" i="1"/>
  <c r="L813" i="1"/>
  <c r="M813" i="1"/>
  <c r="N813" i="1"/>
  <c r="O813" i="1"/>
  <c r="I814" i="1"/>
  <c r="J814" i="1"/>
  <c r="M814" i="1" s="1"/>
  <c r="K814" i="1"/>
  <c r="L814" i="1"/>
  <c r="N814" i="1"/>
  <c r="O814" i="1" s="1"/>
  <c r="I815" i="1"/>
  <c r="J815" i="1"/>
  <c r="M815" i="1" s="1"/>
  <c r="K815" i="1"/>
  <c r="L815" i="1"/>
  <c r="I816" i="1"/>
  <c r="J816" i="1"/>
  <c r="M816" i="1" s="1"/>
  <c r="K816" i="1"/>
  <c r="L816" i="1"/>
  <c r="N816" i="1" s="1"/>
  <c r="O816" i="1" s="1"/>
  <c r="I817" i="1"/>
  <c r="J817" i="1"/>
  <c r="M817" i="1" s="1"/>
  <c r="N817" i="1" s="1"/>
  <c r="O817" i="1" s="1"/>
  <c r="K817" i="1"/>
  <c r="L817" i="1"/>
  <c r="I818" i="1"/>
  <c r="J818" i="1"/>
  <c r="K818" i="1"/>
  <c r="L818" i="1"/>
  <c r="M818" i="1"/>
  <c r="N818" i="1"/>
  <c r="O818" i="1" s="1"/>
  <c r="I819" i="1"/>
  <c r="J819" i="1"/>
  <c r="K819" i="1"/>
  <c r="L819" i="1"/>
  <c r="M819" i="1"/>
  <c r="I820" i="1"/>
  <c r="J820" i="1"/>
  <c r="K820" i="1"/>
  <c r="L820" i="1"/>
  <c r="M820" i="1"/>
  <c r="N820" i="1"/>
  <c r="O820" i="1" s="1"/>
  <c r="I821" i="1"/>
  <c r="J821" i="1"/>
  <c r="K821" i="1"/>
  <c r="L821" i="1"/>
  <c r="M821" i="1"/>
  <c r="N821" i="1" s="1"/>
  <c r="O821" i="1" s="1"/>
  <c r="I822" i="1"/>
  <c r="J822" i="1"/>
  <c r="M822" i="1" s="1"/>
  <c r="K822" i="1"/>
  <c r="L822" i="1"/>
  <c r="N822" i="1"/>
  <c r="O822" i="1"/>
  <c r="I823" i="1"/>
  <c r="J823" i="1"/>
  <c r="K823" i="1"/>
  <c r="L823" i="1"/>
  <c r="M823" i="1"/>
  <c r="N823" i="1" s="1"/>
  <c r="O823" i="1" s="1"/>
  <c r="I824" i="1"/>
  <c r="J824" i="1"/>
  <c r="K824" i="1"/>
  <c r="L824" i="1"/>
  <c r="N824" i="1" s="1"/>
  <c r="O824" i="1" s="1"/>
  <c r="M824" i="1"/>
  <c r="I825" i="1"/>
  <c r="J825" i="1"/>
  <c r="K825" i="1"/>
  <c r="L825" i="1"/>
  <c r="N825" i="1" s="1"/>
  <c r="O825" i="1" s="1"/>
  <c r="M825" i="1"/>
  <c r="I826" i="1"/>
  <c r="J826" i="1"/>
  <c r="M826" i="1" s="1"/>
  <c r="K826" i="1"/>
  <c r="L826" i="1"/>
  <c r="N826" i="1" s="1"/>
  <c r="O826" i="1" s="1"/>
  <c r="I827" i="1"/>
  <c r="J827" i="1"/>
  <c r="M827" i="1" s="1"/>
  <c r="K827" i="1"/>
  <c r="L827" i="1"/>
  <c r="I828" i="1"/>
  <c r="J828" i="1"/>
  <c r="M828" i="1" s="1"/>
  <c r="K828" i="1"/>
  <c r="L828" i="1"/>
  <c r="I829" i="1"/>
  <c r="J829" i="1"/>
  <c r="M829" i="1" s="1"/>
  <c r="N829" i="1" s="1"/>
  <c r="O829" i="1" s="1"/>
  <c r="K829" i="1"/>
  <c r="L829" i="1"/>
  <c r="I830" i="1"/>
  <c r="J830" i="1"/>
  <c r="M830" i="1" s="1"/>
  <c r="N830" i="1" s="1"/>
  <c r="O830" i="1" s="1"/>
  <c r="K830" i="1"/>
  <c r="L830" i="1"/>
  <c r="I831" i="1"/>
  <c r="J831" i="1"/>
  <c r="K831" i="1"/>
  <c r="L831" i="1"/>
  <c r="M831" i="1"/>
  <c r="I832" i="1"/>
  <c r="J832" i="1"/>
  <c r="K832" i="1"/>
  <c r="L832" i="1"/>
  <c r="M832" i="1"/>
  <c r="N832" i="1"/>
  <c r="O832" i="1" s="1"/>
  <c r="I833" i="1"/>
  <c r="J833" i="1"/>
  <c r="K833" i="1"/>
  <c r="L833" i="1"/>
  <c r="M833" i="1"/>
  <c r="N833" i="1"/>
  <c r="O833" i="1"/>
  <c r="I834" i="1"/>
  <c r="J834" i="1"/>
  <c r="M834" i="1" s="1"/>
  <c r="K834" i="1"/>
  <c r="L834" i="1"/>
  <c r="N834" i="1"/>
  <c r="O834" i="1" s="1"/>
  <c r="I835" i="1"/>
  <c r="J835" i="1"/>
  <c r="K835" i="1"/>
  <c r="L835" i="1"/>
  <c r="M835" i="1"/>
  <c r="N835" i="1" s="1"/>
  <c r="O835" i="1" s="1"/>
  <c r="I836" i="1"/>
  <c r="J836" i="1"/>
  <c r="K836" i="1"/>
  <c r="L836" i="1"/>
  <c r="N836" i="1" s="1"/>
  <c r="O836" i="1" s="1"/>
  <c r="M836" i="1"/>
  <c r="I837" i="1"/>
  <c r="J837" i="1"/>
  <c r="K837" i="1"/>
  <c r="L837" i="1"/>
  <c r="M837" i="1"/>
  <c r="I838" i="1"/>
  <c r="J838" i="1"/>
  <c r="M838" i="1" s="1"/>
  <c r="K838" i="1"/>
  <c r="L838" i="1"/>
  <c r="N838" i="1" s="1"/>
  <c r="O838" i="1" s="1"/>
  <c r="I839" i="1"/>
  <c r="J839" i="1"/>
  <c r="M839" i="1" s="1"/>
  <c r="K839" i="1"/>
  <c r="L839" i="1"/>
  <c r="I840" i="1"/>
  <c r="J840" i="1"/>
  <c r="M840" i="1" s="1"/>
  <c r="K840" i="1"/>
  <c r="L840" i="1"/>
  <c r="I841" i="1"/>
  <c r="J841" i="1"/>
  <c r="M841" i="1" s="1"/>
  <c r="N841" i="1" s="1"/>
  <c r="O841" i="1" s="1"/>
  <c r="K841" i="1"/>
  <c r="L841" i="1"/>
  <c r="I842" i="1"/>
  <c r="J842" i="1"/>
  <c r="K842" i="1"/>
  <c r="L842" i="1"/>
  <c r="M842" i="1"/>
  <c r="N842" i="1"/>
  <c r="O842" i="1" s="1"/>
  <c r="I843" i="1"/>
  <c r="J843" i="1"/>
  <c r="K843" i="1"/>
  <c r="L843" i="1"/>
  <c r="M843" i="1"/>
  <c r="N843" i="1" s="1"/>
  <c r="O843" i="1" s="1"/>
  <c r="I844" i="1"/>
  <c r="J844" i="1"/>
  <c r="K844" i="1"/>
  <c r="L844" i="1"/>
  <c r="M844" i="1"/>
  <c r="I845" i="1"/>
  <c r="J845" i="1"/>
  <c r="M845" i="1" s="1"/>
  <c r="K845" i="1"/>
  <c r="L845" i="1"/>
  <c r="I846" i="1"/>
  <c r="J846" i="1"/>
  <c r="M846" i="1" s="1"/>
  <c r="N846" i="1" s="1"/>
  <c r="O846" i="1" s="1"/>
  <c r="K846" i="1"/>
  <c r="L846" i="1"/>
  <c r="I847" i="1"/>
  <c r="J847" i="1"/>
  <c r="M847" i="1" s="1"/>
  <c r="N847" i="1" s="1"/>
  <c r="K847" i="1"/>
  <c r="L847" i="1"/>
  <c r="O847" i="1"/>
  <c r="I848" i="1"/>
  <c r="J848" i="1"/>
  <c r="K848" i="1"/>
  <c r="L848" i="1"/>
  <c r="M848" i="1"/>
  <c r="N848" i="1"/>
  <c r="O848" i="1" s="1"/>
  <c r="I849" i="1"/>
  <c r="J849" i="1"/>
  <c r="K849" i="1"/>
  <c r="L849" i="1"/>
  <c r="M849" i="1"/>
  <c r="N849" i="1"/>
  <c r="O849" i="1" s="1"/>
  <c r="I850" i="1"/>
  <c r="J850" i="1"/>
  <c r="K850" i="1"/>
  <c r="L850" i="1"/>
  <c r="N850" i="1" s="1"/>
  <c r="O850" i="1" s="1"/>
  <c r="M850" i="1"/>
  <c r="I851" i="1"/>
  <c r="J851" i="1"/>
  <c r="M851" i="1" s="1"/>
  <c r="K851" i="1"/>
  <c r="L851" i="1"/>
  <c r="I852" i="1"/>
  <c r="J852" i="1"/>
  <c r="M852" i="1" s="1"/>
  <c r="K852" i="1"/>
  <c r="L852" i="1"/>
  <c r="I853" i="1"/>
  <c r="J853" i="1"/>
  <c r="M853" i="1" s="1"/>
  <c r="N853" i="1" s="1"/>
  <c r="O853" i="1" s="1"/>
  <c r="K853" i="1"/>
  <c r="L853" i="1"/>
  <c r="I854" i="1"/>
  <c r="J854" i="1"/>
  <c r="K854" i="1"/>
  <c r="L854" i="1"/>
  <c r="M854" i="1"/>
  <c r="N854" i="1"/>
  <c r="O854" i="1"/>
  <c r="I855" i="1"/>
  <c r="J855" i="1"/>
  <c r="K855" i="1"/>
  <c r="L855" i="1"/>
  <c r="M855" i="1"/>
  <c r="N855" i="1" s="1"/>
  <c r="O855" i="1" s="1"/>
  <c r="I856" i="1"/>
  <c r="J856" i="1"/>
  <c r="K856" i="1"/>
  <c r="L856" i="1"/>
  <c r="M856" i="1"/>
  <c r="I857" i="1"/>
  <c r="J857" i="1"/>
  <c r="M857" i="1" s="1"/>
  <c r="K857" i="1"/>
  <c r="L857" i="1"/>
  <c r="I858" i="1"/>
  <c r="J858" i="1"/>
  <c r="M858" i="1" s="1"/>
  <c r="N858" i="1" s="1"/>
  <c r="O858" i="1" s="1"/>
  <c r="K858" i="1"/>
  <c r="L858" i="1"/>
  <c r="I859" i="1"/>
  <c r="J859" i="1"/>
  <c r="M859" i="1" s="1"/>
  <c r="N859" i="1" s="1"/>
  <c r="K859" i="1"/>
  <c r="L859" i="1"/>
  <c r="O859" i="1"/>
  <c r="I860" i="1"/>
  <c r="J860" i="1"/>
  <c r="K860" i="1"/>
  <c r="L860" i="1"/>
  <c r="M860" i="1"/>
  <c r="N860" i="1"/>
  <c r="O860" i="1" s="1"/>
  <c r="I861" i="1"/>
  <c r="J861" i="1"/>
  <c r="K861" i="1"/>
  <c r="L861" i="1"/>
  <c r="M861" i="1"/>
  <c r="N861" i="1"/>
  <c r="O861" i="1" s="1"/>
  <c r="I862" i="1"/>
  <c r="J862" i="1"/>
  <c r="K862" i="1"/>
  <c r="L862" i="1"/>
  <c r="N862" i="1" s="1"/>
  <c r="O862" i="1" s="1"/>
  <c r="M862" i="1"/>
  <c r="I863" i="1"/>
  <c r="J863" i="1"/>
  <c r="M863" i="1" s="1"/>
  <c r="K863" i="1"/>
  <c r="L863" i="1"/>
  <c r="N863" i="1" s="1"/>
  <c r="O863" i="1" s="1"/>
  <c r="I864" i="1"/>
  <c r="J864" i="1"/>
  <c r="M864" i="1" s="1"/>
  <c r="K864" i="1"/>
  <c r="L864" i="1"/>
  <c r="N864" i="1" s="1"/>
  <c r="O864" i="1" s="1"/>
  <c r="I865" i="1"/>
  <c r="J865" i="1"/>
  <c r="M865" i="1" s="1"/>
  <c r="N865" i="1" s="1"/>
  <c r="O865" i="1" s="1"/>
  <c r="K865" i="1"/>
  <c r="L865" i="1"/>
  <c r="I866" i="1"/>
  <c r="J866" i="1"/>
  <c r="K866" i="1"/>
  <c r="L866" i="1"/>
  <c r="M866" i="1"/>
  <c r="N866" i="1"/>
  <c r="O866" i="1"/>
  <c r="I867" i="1"/>
  <c r="J867" i="1"/>
  <c r="K867" i="1"/>
  <c r="L867" i="1"/>
  <c r="M867" i="1"/>
  <c r="N867" i="1" s="1"/>
  <c r="O867" i="1" s="1"/>
  <c r="I868" i="1"/>
  <c r="J868" i="1"/>
  <c r="K868" i="1"/>
  <c r="L868" i="1"/>
  <c r="N868" i="1" s="1"/>
  <c r="O868" i="1" s="1"/>
  <c r="M868" i="1"/>
  <c r="I869" i="1"/>
  <c r="J869" i="1"/>
  <c r="M869" i="1" s="1"/>
  <c r="K869" i="1"/>
  <c r="L869" i="1"/>
  <c r="I870" i="1"/>
  <c r="J870" i="1"/>
  <c r="M870" i="1" s="1"/>
  <c r="N870" i="1" s="1"/>
  <c r="O870" i="1" s="1"/>
  <c r="K870" i="1"/>
  <c r="L870" i="1"/>
  <c r="I871" i="1"/>
  <c r="J871" i="1"/>
  <c r="M871" i="1" s="1"/>
  <c r="N871" i="1" s="1"/>
  <c r="O871" i="1" s="1"/>
  <c r="K871" i="1"/>
  <c r="L871" i="1"/>
  <c r="I872" i="1"/>
  <c r="J872" i="1"/>
  <c r="K872" i="1"/>
  <c r="L872" i="1"/>
  <c r="M872" i="1"/>
  <c r="N872" i="1"/>
  <c r="O872" i="1" s="1"/>
  <c r="I873" i="1"/>
  <c r="J873" i="1"/>
  <c r="K873" i="1"/>
  <c r="L873" i="1"/>
  <c r="M873" i="1"/>
  <c r="N873" i="1"/>
  <c r="O873" i="1" s="1"/>
  <c r="I874" i="1"/>
  <c r="J874" i="1"/>
  <c r="K874" i="1"/>
  <c r="L874" i="1"/>
  <c r="N874" i="1" s="1"/>
  <c r="O874" i="1" s="1"/>
  <c r="M874" i="1"/>
  <c r="I875" i="1"/>
  <c r="J875" i="1"/>
  <c r="M875" i="1" s="1"/>
  <c r="K875" i="1"/>
  <c r="L875" i="1"/>
  <c r="I876" i="1"/>
  <c r="J876" i="1"/>
  <c r="M876" i="1" s="1"/>
  <c r="K876" i="1"/>
  <c r="L876" i="1"/>
  <c r="N876" i="1" s="1"/>
  <c r="O876" i="1" s="1"/>
  <c r="I877" i="1"/>
  <c r="J877" i="1"/>
  <c r="M877" i="1" s="1"/>
  <c r="N877" i="1" s="1"/>
  <c r="O877" i="1" s="1"/>
  <c r="K877" i="1"/>
  <c r="L877" i="1"/>
  <c r="I878" i="1"/>
  <c r="J878" i="1"/>
  <c r="K878" i="1"/>
  <c r="L878" i="1"/>
  <c r="M878" i="1"/>
  <c r="N878" i="1"/>
  <c r="O878" i="1"/>
  <c r="I879" i="1"/>
  <c r="J879" i="1"/>
  <c r="K879" i="1"/>
  <c r="L879" i="1"/>
  <c r="M879" i="1"/>
  <c r="N879" i="1" s="1"/>
  <c r="O879" i="1" s="1"/>
  <c r="I880" i="1"/>
  <c r="J880" i="1"/>
  <c r="K880" i="1"/>
  <c r="L880" i="1"/>
  <c r="M880" i="1"/>
  <c r="I881" i="1"/>
  <c r="J881" i="1"/>
  <c r="M881" i="1" s="1"/>
  <c r="K881" i="1"/>
  <c r="L881" i="1"/>
  <c r="N881" i="1" s="1"/>
  <c r="O881" i="1" s="1"/>
  <c r="I882" i="1"/>
  <c r="J882" i="1"/>
  <c r="M882" i="1" s="1"/>
  <c r="N882" i="1" s="1"/>
  <c r="O882" i="1" s="1"/>
  <c r="K882" i="1"/>
  <c r="L882" i="1"/>
  <c r="I883" i="1"/>
  <c r="J883" i="1"/>
  <c r="M883" i="1" s="1"/>
  <c r="N883" i="1" s="1"/>
  <c r="O883" i="1" s="1"/>
  <c r="K883" i="1"/>
  <c r="L883" i="1"/>
  <c r="I884" i="1"/>
  <c r="J884" i="1"/>
  <c r="K884" i="1"/>
  <c r="L884" i="1"/>
  <c r="M884" i="1"/>
  <c r="N884" i="1"/>
  <c r="O884" i="1" s="1"/>
  <c r="I885" i="1"/>
  <c r="J885" i="1"/>
  <c r="K885" i="1"/>
  <c r="L885" i="1"/>
  <c r="M885" i="1"/>
  <c r="N885" i="1" s="1"/>
  <c r="O885" i="1" s="1"/>
  <c r="I886" i="1"/>
  <c r="J886" i="1"/>
  <c r="K886" i="1"/>
  <c r="L886" i="1"/>
  <c r="N886" i="1" s="1"/>
  <c r="O886" i="1" s="1"/>
  <c r="M886" i="1"/>
  <c r="I887" i="1"/>
  <c r="J887" i="1"/>
  <c r="M887" i="1" s="1"/>
  <c r="K887" i="1"/>
  <c r="L887" i="1"/>
  <c r="I888" i="1"/>
  <c r="J888" i="1"/>
  <c r="M888" i="1" s="1"/>
  <c r="K888" i="1"/>
  <c r="L888" i="1"/>
  <c r="I889" i="1"/>
  <c r="J889" i="1"/>
  <c r="M889" i="1" s="1"/>
  <c r="N889" i="1" s="1"/>
  <c r="O889" i="1" s="1"/>
  <c r="K889" i="1"/>
  <c r="L889" i="1"/>
  <c r="I890" i="1"/>
  <c r="J890" i="1"/>
  <c r="K890" i="1"/>
  <c r="L890" i="1"/>
  <c r="M890" i="1"/>
  <c r="N890" i="1"/>
  <c r="O890" i="1" s="1"/>
  <c r="I891" i="1"/>
  <c r="J891" i="1"/>
  <c r="K891" i="1"/>
  <c r="L891" i="1"/>
  <c r="M891" i="1"/>
  <c r="N891" i="1" s="1"/>
  <c r="O891" i="1" s="1"/>
  <c r="I892" i="1"/>
  <c r="J892" i="1"/>
  <c r="K892" i="1"/>
  <c r="L892" i="1"/>
  <c r="M892" i="1"/>
  <c r="I893" i="1"/>
  <c r="J893" i="1"/>
  <c r="M893" i="1" s="1"/>
  <c r="K893" i="1"/>
  <c r="L893" i="1"/>
  <c r="N893" i="1" s="1"/>
  <c r="O893" i="1" s="1"/>
  <c r="I894" i="1"/>
  <c r="J894" i="1"/>
  <c r="M894" i="1" s="1"/>
  <c r="N894" i="1" s="1"/>
  <c r="O894" i="1" s="1"/>
  <c r="K894" i="1"/>
  <c r="L894" i="1"/>
  <c r="I895" i="1"/>
  <c r="J895" i="1"/>
  <c r="M895" i="1" s="1"/>
  <c r="N895" i="1" s="1"/>
  <c r="O895" i="1" s="1"/>
  <c r="K895" i="1"/>
  <c r="L895" i="1"/>
  <c r="I896" i="1"/>
  <c r="J896" i="1"/>
  <c r="K896" i="1"/>
  <c r="L896" i="1"/>
  <c r="M896" i="1"/>
  <c r="N896" i="1"/>
  <c r="O896" i="1" s="1"/>
  <c r="I897" i="1"/>
  <c r="J897" i="1"/>
  <c r="K897" i="1"/>
  <c r="L897" i="1"/>
  <c r="M897" i="1"/>
  <c r="N897" i="1"/>
  <c r="O897" i="1" s="1"/>
  <c r="I898" i="1"/>
  <c r="J898" i="1"/>
  <c r="K898" i="1"/>
  <c r="L898" i="1"/>
  <c r="N898" i="1" s="1"/>
  <c r="O898" i="1" s="1"/>
  <c r="M898" i="1"/>
  <c r="I899" i="1"/>
  <c r="J899" i="1"/>
  <c r="M899" i="1" s="1"/>
  <c r="K899" i="1"/>
  <c r="L899" i="1"/>
  <c r="N899" i="1" s="1"/>
  <c r="O899" i="1" s="1"/>
  <c r="I900" i="1"/>
  <c r="J900" i="1"/>
  <c r="M900" i="1" s="1"/>
  <c r="K900" i="1"/>
  <c r="L900" i="1"/>
  <c r="I901" i="1"/>
  <c r="J901" i="1"/>
  <c r="M901" i="1" s="1"/>
  <c r="N901" i="1" s="1"/>
  <c r="O901" i="1" s="1"/>
  <c r="K901" i="1"/>
  <c r="L901" i="1"/>
  <c r="I902" i="1"/>
  <c r="J902" i="1"/>
  <c r="K902" i="1"/>
  <c r="L902" i="1"/>
  <c r="M902" i="1"/>
  <c r="N902" i="1"/>
  <c r="O902" i="1"/>
  <c r="I903" i="1"/>
  <c r="J903" i="1"/>
  <c r="K903" i="1"/>
  <c r="L903" i="1"/>
  <c r="M903" i="1"/>
  <c r="N903" i="1" s="1"/>
  <c r="O903" i="1" s="1"/>
  <c r="I904" i="1"/>
  <c r="J904" i="1"/>
  <c r="K904" i="1"/>
  <c r="L904" i="1"/>
  <c r="N904" i="1" s="1"/>
  <c r="O904" i="1" s="1"/>
  <c r="M904" i="1"/>
  <c r="I905" i="1"/>
  <c r="J905" i="1"/>
  <c r="M905" i="1" s="1"/>
  <c r="K905" i="1"/>
  <c r="L905" i="1"/>
  <c r="I906" i="1"/>
  <c r="J906" i="1"/>
  <c r="M906" i="1" s="1"/>
  <c r="N906" i="1" s="1"/>
  <c r="O906" i="1" s="1"/>
  <c r="K906" i="1"/>
  <c r="L906" i="1"/>
  <c r="I907" i="1"/>
  <c r="J907" i="1"/>
  <c r="M907" i="1" s="1"/>
  <c r="N907" i="1" s="1"/>
  <c r="K907" i="1"/>
  <c r="L907" i="1"/>
  <c r="O907" i="1"/>
  <c r="I908" i="1"/>
  <c r="J908" i="1"/>
  <c r="K908" i="1"/>
  <c r="L908" i="1"/>
  <c r="M908" i="1"/>
  <c r="N908" i="1"/>
  <c r="O908" i="1" s="1"/>
  <c r="I909" i="1"/>
  <c r="J909" i="1"/>
  <c r="K909" i="1"/>
  <c r="L909" i="1"/>
  <c r="M909" i="1"/>
  <c r="N909" i="1"/>
  <c r="O909" i="1" s="1"/>
  <c r="I910" i="1"/>
  <c r="J910" i="1"/>
  <c r="K910" i="1"/>
  <c r="L910" i="1"/>
  <c r="N910" i="1" s="1"/>
  <c r="O910" i="1" s="1"/>
  <c r="M910" i="1"/>
  <c r="I911" i="1"/>
  <c r="J911" i="1"/>
  <c r="M911" i="1" s="1"/>
  <c r="K911" i="1"/>
  <c r="L911" i="1"/>
  <c r="I912" i="1"/>
  <c r="J912" i="1"/>
  <c r="M912" i="1" s="1"/>
  <c r="K912" i="1"/>
  <c r="L912" i="1"/>
  <c r="N912" i="1" s="1"/>
  <c r="O912" i="1" s="1"/>
  <c r="I913" i="1"/>
  <c r="J913" i="1"/>
  <c r="M913" i="1" s="1"/>
  <c r="N913" i="1" s="1"/>
  <c r="O913" i="1" s="1"/>
  <c r="K913" i="1"/>
  <c r="L913" i="1"/>
  <c r="I914" i="1"/>
  <c r="J914" i="1"/>
  <c r="K914" i="1"/>
  <c r="L914" i="1"/>
  <c r="M914" i="1"/>
  <c r="N914" i="1"/>
  <c r="O914" i="1"/>
  <c r="I915" i="1"/>
  <c r="J915" i="1"/>
  <c r="K915" i="1"/>
  <c r="L915" i="1"/>
  <c r="M915" i="1"/>
  <c r="N915" i="1" s="1"/>
  <c r="O915" i="1" s="1"/>
  <c r="I916" i="1"/>
  <c r="J916" i="1"/>
  <c r="K916" i="1"/>
  <c r="L916" i="1"/>
  <c r="M916" i="1"/>
  <c r="I917" i="1"/>
  <c r="J917" i="1"/>
  <c r="M917" i="1" s="1"/>
  <c r="K917" i="1"/>
  <c r="L917" i="1"/>
  <c r="I918" i="1"/>
  <c r="J918" i="1"/>
  <c r="M918" i="1" s="1"/>
  <c r="N918" i="1" s="1"/>
  <c r="O918" i="1" s="1"/>
  <c r="K918" i="1"/>
  <c r="L918" i="1"/>
  <c r="I919" i="1"/>
  <c r="J919" i="1"/>
  <c r="M919" i="1" s="1"/>
  <c r="N919" i="1" s="1"/>
  <c r="O919" i="1" s="1"/>
  <c r="K919" i="1"/>
  <c r="L919" i="1"/>
  <c r="I920" i="1"/>
  <c r="J920" i="1"/>
  <c r="K920" i="1"/>
  <c r="L920" i="1"/>
  <c r="M920" i="1"/>
  <c r="N920" i="1"/>
  <c r="O920" i="1" s="1"/>
  <c r="I921" i="1"/>
  <c r="J921" i="1"/>
  <c r="K921" i="1"/>
  <c r="L921" i="1"/>
  <c r="M921" i="1"/>
  <c r="N921" i="1" s="1"/>
  <c r="O921" i="1" s="1"/>
  <c r="I922" i="1"/>
  <c r="J922" i="1"/>
  <c r="K922" i="1"/>
  <c r="L922" i="1"/>
  <c r="N922" i="1" s="1"/>
  <c r="O922" i="1" s="1"/>
  <c r="M922" i="1"/>
  <c r="I923" i="1"/>
  <c r="J923" i="1"/>
  <c r="M923" i="1" s="1"/>
  <c r="K923" i="1"/>
  <c r="L923" i="1"/>
  <c r="I924" i="1"/>
  <c r="J924" i="1"/>
  <c r="M924" i="1" s="1"/>
  <c r="K924" i="1"/>
  <c r="L924" i="1"/>
  <c r="I925" i="1"/>
  <c r="J925" i="1"/>
  <c r="M925" i="1" s="1"/>
  <c r="N925" i="1" s="1"/>
  <c r="O925" i="1" s="1"/>
  <c r="K925" i="1"/>
  <c r="L925" i="1"/>
  <c r="I926" i="1"/>
  <c r="J926" i="1"/>
  <c r="K926" i="1"/>
  <c r="L926" i="1"/>
  <c r="M926" i="1"/>
  <c r="N926" i="1"/>
  <c r="O926" i="1" s="1"/>
  <c r="I927" i="1"/>
  <c r="J927" i="1"/>
  <c r="K927" i="1"/>
  <c r="L927" i="1"/>
  <c r="M927" i="1"/>
  <c r="N927" i="1" s="1"/>
  <c r="O927" i="1" s="1"/>
  <c r="I928" i="1"/>
  <c r="J928" i="1"/>
  <c r="K928" i="1"/>
  <c r="L928" i="1"/>
  <c r="N928" i="1" s="1"/>
  <c r="O928" i="1" s="1"/>
  <c r="M928" i="1"/>
  <c r="I929" i="1"/>
  <c r="J929" i="1"/>
  <c r="M929" i="1" s="1"/>
  <c r="K929" i="1"/>
  <c r="L929" i="1"/>
  <c r="N929" i="1" s="1"/>
  <c r="O929" i="1" s="1"/>
  <c r="I930" i="1"/>
  <c r="J930" i="1"/>
  <c r="M930" i="1" s="1"/>
  <c r="N930" i="1" s="1"/>
  <c r="O930" i="1" s="1"/>
  <c r="K930" i="1"/>
  <c r="L930" i="1"/>
  <c r="I931" i="1"/>
  <c r="J931" i="1"/>
  <c r="M931" i="1" s="1"/>
  <c r="N931" i="1" s="1"/>
  <c r="O931" i="1" s="1"/>
  <c r="K931" i="1"/>
  <c r="L931" i="1"/>
  <c r="I932" i="1"/>
  <c r="J932" i="1"/>
  <c r="K932" i="1"/>
  <c r="L932" i="1"/>
  <c r="M932" i="1"/>
  <c r="N932" i="1"/>
  <c r="O932" i="1" s="1"/>
  <c r="I933" i="1"/>
  <c r="J933" i="1"/>
  <c r="K933" i="1"/>
  <c r="L933" i="1"/>
  <c r="M933" i="1"/>
  <c r="N933" i="1"/>
  <c r="O933" i="1" s="1"/>
  <c r="I934" i="1"/>
  <c r="J934" i="1"/>
  <c r="K934" i="1"/>
  <c r="L934" i="1"/>
  <c r="N934" i="1" s="1"/>
  <c r="O934" i="1" s="1"/>
  <c r="M934" i="1"/>
  <c r="I935" i="1"/>
  <c r="J935" i="1"/>
  <c r="M935" i="1" s="1"/>
  <c r="K935" i="1"/>
  <c r="L935" i="1"/>
  <c r="I936" i="1"/>
  <c r="J936" i="1"/>
  <c r="M936" i="1" s="1"/>
  <c r="K936" i="1"/>
  <c r="L936" i="1"/>
  <c r="I937" i="1"/>
  <c r="J937" i="1"/>
  <c r="M937" i="1" s="1"/>
  <c r="N937" i="1" s="1"/>
  <c r="K937" i="1"/>
  <c r="L937" i="1"/>
  <c r="O937" i="1"/>
  <c r="I938" i="1"/>
  <c r="J938" i="1"/>
  <c r="K938" i="1"/>
  <c r="L938" i="1"/>
  <c r="M938" i="1"/>
  <c r="N938" i="1"/>
  <c r="O938" i="1" s="1"/>
  <c r="I939" i="1"/>
  <c r="J939" i="1"/>
  <c r="K939" i="1"/>
  <c r="L939" i="1"/>
  <c r="M939" i="1"/>
  <c r="N939" i="1"/>
  <c r="O939" i="1" s="1"/>
  <c r="I940" i="1"/>
  <c r="J940" i="1"/>
  <c r="K940" i="1"/>
  <c r="L940" i="1"/>
  <c r="M940" i="1"/>
  <c r="I941" i="1"/>
  <c r="J941" i="1"/>
  <c r="M941" i="1" s="1"/>
  <c r="K941" i="1"/>
  <c r="L941" i="1"/>
  <c r="I942" i="1"/>
  <c r="J942" i="1"/>
  <c r="M942" i="1" s="1"/>
  <c r="N942" i="1" s="1"/>
  <c r="O942" i="1" s="1"/>
  <c r="K942" i="1"/>
  <c r="L942" i="1"/>
  <c r="I943" i="1"/>
  <c r="J943" i="1"/>
  <c r="M943" i="1" s="1"/>
  <c r="N943" i="1" s="1"/>
  <c r="O943" i="1" s="1"/>
  <c r="K943" i="1"/>
  <c r="L943" i="1"/>
  <c r="I944" i="1"/>
  <c r="J944" i="1"/>
  <c r="K944" i="1"/>
  <c r="L944" i="1"/>
  <c r="M944" i="1"/>
  <c r="N944" i="1"/>
  <c r="O944" i="1" s="1"/>
  <c r="I945" i="1"/>
  <c r="J945" i="1"/>
  <c r="K945" i="1"/>
  <c r="L945" i="1"/>
  <c r="M945" i="1"/>
  <c r="N945" i="1"/>
  <c r="O945" i="1" s="1"/>
  <c r="I946" i="1"/>
  <c r="J946" i="1"/>
  <c r="K946" i="1"/>
  <c r="L946" i="1"/>
  <c r="M946" i="1"/>
  <c r="I947" i="1"/>
  <c r="J947" i="1"/>
  <c r="M947" i="1" s="1"/>
  <c r="K947" i="1"/>
  <c r="L947" i="1"/>
  <c r="I948" i="1"/>
  <c r="J948" i="1"/>
  <c r="M948" i="1" s="1"/>
  <c r="K948" i="1"/>
  <c r="L948" i="1"/>
  <c r="N948" i="1" s="1"/>
  <c r="O948" i="1" s="1"/>
  <c r="I949" i="1"/>
  <c r="J949" i="1"/>
  <c r="M949" i="1" s="1"/>
  <c r="N949" i="1" s="1"/>
  <c r="K949" i="1"/>
  <c r="L949" i="1"/>
  <c r="O949" i="1"/>
  <c r="I950" i="1"/>
  <c r="J950" i="1"/>
  <c r="K950" i="1"/>
  <c r="L950" i="1"/>
  <c r="M950" i="1"/>
  <c r="N950" i="1"/>
  <c r="O950" i="1"/>
  <c r="I951" i="1"/>
  <c r="J951" i="1"/>
  <c r="K951" i="1"/>
  <c r="L951" i="1"/>
  <c r="M951" i="1"/>
  <c r="N951" i="1"/>
  <c r="O951" i="1" s="1"/>
  <c r="I952" i="1"/>
  <c r="J952" i="1"/>
  <c r="K952" i="1"/>
  <c r="L952" i="1"/>
  <c r="M952" i="1"/>
  <c r="I953" i="1"/>
  <c r="J953" i="1"/>
  <c r="M953" i="1" s="1"/>
  <c r="K953" i="1"/>
  <c r="L953" i="1"/>
  <c r="N953" i="1" s="1"/>
  <c r="O953" i="1" s="1"/>
  <c r="I954" i="1"/>
  <c r="J954" i="1"/>
  <c r="M954" i="1" s="1"/>
  <c r="N954" i="1" s="1"/>
  <c r="O954" i="1" s="1"/>
  <c r="K954" i="1"/>
  <c r="L954" i="1"/>
  <c r="I955" i="1"/>
  <c r="J955" i="1"/>
  <c r="M955" i="1" s="1"/>
  <c r="K955" i="1"/>
  <c r="L955" i="1"/>
  <c r="N955" i="1"/>
  <c r="O955" i="1" s="1"/>
  <c r="I956" i="1"/>
  <c r="J956" i="1"/>
  <c r="K956" i="1"/>
  <c r="L956" i="1"/>
  <c r="M956" i="1"/>
  <c r="N956" i="1"/>
  <c r="O956" i="1" s="1"/>
  <c r="I957" i="1"/>
  <c r="J957" i="1"/>
  <c r="K957" i="1"/>
  <c r="L957" i="1"/>
  <c r="N957" i="1" s="1"/>
  <c r="O957" i="1" s="1"/>
  <c r="M957" i="1"/>
  <c r="I958" i="1"/>
  <c r="J958" i="1"/>
  <c r="K958" i="1"/>
  <c r="L958" i="1"/>
  <c r="N958" i="1" s="1"/>
  <c r="O958" i="1" s="1"/>
  <c r="M958" i="1"/>
  <c r="I959" i="1"/>
  <c r="J959" i="1"/>
  <c r="M959" i="1" s="1"/>
  <c r="K959" i="1"/>
  <c r="L959" i="1"/>
  <c r="I960" i="1"/>
  <c r="J960" i="1"/>
  <c r="M960" i="1" s="1"/>
  <c r="K960" i="1"/>
  <c r="L960" i="1"/>
  <c r="N960" i="1" s="1"/>
  <c r="O960" i="1"/>
  <c r="I961" i="1"/>
  <c r="J961" i="1"/>
  <c r="M961" i="1" s="1"/>
  <c r="N961" i="1" s="1"/>
  <c r="O961" i="1" s="1"/>
  <c r="K961" i="1"/>
  <c r="L961" i="1"/>
  <c r="I962" i="1"/>
  <c r="J962" i="1"/>
  <c r="K962" i="1"/>
  <c r="L962" i="1"/>
  <c r="M962" i="1"/>
  <c r="N962" i="1"/>
  <c r="O962" i="1"/>
  <c r="I963" i="1"/>
  <c r="J963" i="1"/>
  <c r="K963" i="1"/>
  <c r="L963" i="1"/>
  <c r="N963" i="1" s="1"/>
  <c r="O963" i="1" s="1"/>
  <c r="M963" i="1"/>
  <c r="I964" i="1"/>
  <c r="J964" i="1"/>
  <c r="K964" i="1"/>
  <c r="L964" i="1"/>
  <c r="M964" i="1"/>
  <c r="I965" i="1"/>
  <c r="J965" i="1"/>
  <c r="M965" i="1" s="1"/>
  <c r="K965" i="1"/>
  <c r="L965" i="1"/>
  <c r="I966" i="1"/>
  <c r="J966" i="1"/>
  <c r="M966" i="1" s="1"/>
  <c r="N966" i="1" s="1"/>
  <c r="K966" i="1"/>
  <c r="L966" i="1"/>
  <c r="O966" i="1"/>
  <c r="I967" i="1"/>
  <c r="J967" i="1"/>
  <c r="M967" i="1" s="1"/>
  <c r="K967" i="1"/>
  <c r="L967" i="1"/>
  <c r="N967" i="1"/>
  <c r="O967" i="1"/>
  <c r="I968" i="1"/>
  <c r="J968" i="1"/>
  <c r="K968" i="1"/>
  <c r="L968" i="1"/>
  <c r="M968" i="1"/>
  <c r="N968" i="1"/>
  <c r="O968" i="1" s="1"/>
  <c r="I969" i="1"/>
  <c r="J969" i="1"/>
  <c r="K969" i="1"/>
  <c r="L969" i="1"/>
  <c r="N969" i="1" s="1"/>
  <c r="O969" i="1" s="1"/>
  <c r="M969" i="1"/>
  <c r="I970" i="1"/>
  <c r="J970" i="1"/>
  <c r="K970" i="1"/>
  <c r="L970" i="1"/>
  <c r="M970" i="1"/>
  <c r="I971" i="1"/>
  <c r="J971" i="1"/>
  <c r="M971" i="1" s="1"/>
  <c r="K971" i="1"/>
  <c r="L971" i="1"/>
  <c r="N971" i="1" s="1"/>
  <c r="O971" i="1" s="1"/>
  <c r="I972" i="1"/>
  <c r="J972" i="1"/>
  <c r="M972" i="1" s="1"/>
  <c r="K972" i="1"/>
  <c r="L972" i="1"/>
  <c r="I973" i="1"/>
  <c r="J973" i="1"/>
  <c r="M973" i="1" s="1"/>
  <c r="N973" i="1" s="1"/>
  <c r="O973" i="1" s="1"/>
  <c r="K973" i="1"/>
  <c r="L973" i="1"/>
  <c r="I974" i="1"/>
  <c r="J974" i="1"/>
  <c r="K974" i="1"/>
  <c r="L974" i="1"/>
  <c r="M974" i="1"/>
  <c r="N974" i="1"/>
  <c r="O974" i="1" s="1"/>
  <c r="I975" i="1"/>
  <c r="J975" i="1"/>
  <c r="K975" i="1"/>
  <c r="L975" i="1"/>
  <c r="M975" i="1"/>
  <c r="N975" i="1"/>
  <c r="O975" i="1" s="1"/>
  <c r="I976" i="1"/>
  <c r="J976" i="1"/>
  <c r="K976" i="1"/>
  <c r="L976" i="1"/>
  <c r="M976" i="1"/>
  <c r="I977" i="1"/>
  <c r="J977" i="1"/>
  <c r="M977" i="1" s="1"/>
  <c r="N977" i="1" s="1"/>
  <c r="O977" i="1" s="1"/>
  <c r="K977" i="1"/>
  <c r="L977" i="1"/>
  <c r="I978" i="1"/>
  <c r="J978" i="1"/>
  <c r="M978" i="1" s="1"/>
  <c r="N978" i="1" s="1"/>
  <c r="O978" i="1" s="1"/>
  <c r="K978" i="1"/>
  <c r="L978" i="1"/>
  <c r="I979" i="1"/>
  <c r="J979" i="1"/>
  <c r="M979" i="1" s="1"/>
  <c r="K979" i="1"/>
  <c r="L979" i="1"/>
  <c r="N979" i="1"/>
  <c r="O979" i="1" s="1"/>
  <c r="I980" i="1"/>
  <c r="J980" i="1"/>
  <c r="K980" i="1"/>
  <c r="L980" i="1"/>
  <c r="M980" i="1"/>
  <c r="N980" i="1" s="1"/>
  <c r="O980" i="1" s="1"/>
  <c r="I981" i="1"/>
  <c r="J981" i="1"/>
  <c r="M981" i="1" s="1"/>
  <c r="K981" i="1"/>
  <c r="L981" i="1"/>
  <c r="N981" i="1" s="1"/>
  <c r="O981" i="1" s="1"/>
  <c r="I982" i="1"/>
  <c r="J982" i="1"/>
  <c r="K982" i="1"/>
  <c r="L982" i="1"/>
  <c r="N982" i="1" s="1"/>
  <c r="O982" i="1" s="1"/>
  <c r="M982" i="1"/>
  <c r="I983" i="1"/>
  <c r="J983" i="1"/>
  <c r="M983" i="1" s="1"/>
  <c r="K983" i="1"/>
  <c r="L983" i="1"/>
  <c r="N983" i="1" s="1"/>
  <c r="O983" i="1" s="1"/>
  <c r="I984" i="1"/>
  <c r="J984" i="1"/>
  <c r="K984" i="1"/>
  <c r="L984" i="1"/>
  <c r="N984" i="1" s="1"/>
  <c r="O984" i="1" s="1"/>
  <c r="M984" i="1"/>
  <c r="I985" i="1"/>
  <c r="J985" i="1"/>
  <c r="M985" i="1" s="1"/>
  <c r="K985" i="1"/>
  <c r="L985" i="1"/>
  <c r="N985" i="1"/>
  <c r="O985" i="1"/>
  <c r="I986" i="1"/>
  <c r="J986" i="1"/>
  <c r="K986" i="1"/>
  <c r="L986" i="1"/>
  <c r="M986" i="1"/>
  <c r="N986" i="1"/>
  <c r="O986" i="1" s="1"/>
  <c r="I987" i="1"/>
  <c r="J987" i="1"/>
  <c r="K987" i="1"/>
  <c r="L987" i="1"/>
  <c r="N987" i="1" s="1"/>
  <c r="O987" i="1" s="1"/>
  <c r="M987" i="1"/>
  <c r="I988" i="1"/>
  <c r="J988" i="1"/>
  <c r="K988" i="1"/>
  <c r="L988" i="1"/>
  <c r="M988" i="1"/>
  <c r="I989" i="1"/>
  <c r="J989" i="1"/>
  <c r="M989" i="1" s="1"/>
  <c r="K989" i="1"/>
  <c r="L989" i="1"/>
  <c r="N989" i="1"/>
  <c r="O989" i="1" s="1"/>
  <c r="I990" i="1"/>
  <c r="J990" i="1"/>
  <c r="M990" i="1" s="1"/>
  <c r="N990" i="1" s="1"/>
  <c r="K990" i="1"/>
  <c r="L990" i="1"/>
  <c r="O990" i="1"/>
  <c r="I991" i="1"/>
  <c r="J991" i="1"/>
  <c r="M991" i="1" s="1"/>
  <c r="N991" i="1" s="1"/>
  <c r="O991" i="1" s="1"/>
  <c r="K991" i="1"/>
  <c r="L991" i="1"/>
  <c r="I992" i="1"/>
  <c r="J992" i="1"/>
  <c r="K992" i="1"/>
  <c r="L992" i="1"/>
  <c r="M992" i="1"/>
  <c r="N992" i="1"/>
  <c r="O992" i="1" s="1"/>
  <c r="I993" i="1"/>
  <c r="J993" i="1"/>
  <c r="M993" i="1" s="1"/>
  <c r="K993" i="1"/>
  <c r="L993" i="1"/>
  <c r="N993" i="1" s="1"/>
  <c r="O993" i="1" s="1"/>
  <c r="I994" i="1"/>
  <c r="J994" i="1"/>
  <c r="K994" i="1"/>
  <c r="L994" i="1"/>
  <c r="M994" i="1"/>
  <c r="I995" i="1"/>
  <c r="J995" i="1"/>
  <c r="M995" i="1" s="1"/>
  <c r="K995" i="1"/>
  <c r="L995" i="1"/>
  <c r="I996" i="1"/>
  <c r="J996" i="1"/>
  <c r="M996" i="1" s="1"/>
  <c r="K996" i="1"/>
  <c r="L996" i="1"/>
  <c r="I997" i="1"/>
  <c r="J997" i="1"/>
  <c r="M997" i="1" s="1"/>
  <c r="N997" i="1" s="1"/>
  <c r="O997" i="1" s="1"/>
  <c r="K997" i="1"/>
  <c r="L997" i="1"/>
  <c r="I998" i="1"/>
  <c r="J998" i="1"/>
  <c r="K998" i="1"/>
  <c r="L998" i="1"/>
  <c r="M998" i="1"/>
  <c r="N998" i="1"/>
  <c r="O998" i="1"/>
  <c r="I999" i="1"/>
  <c r="J999" i="1"/>
  <c r="K999" i="1"/>
  <c r="L999" i="1"/>
  <c r="N999" i="1" s="1"/>
  <c r="O999" i="1" s="1"/>
  <c r="M999" i="1"/>
  <c r="I1000" i="1"/>
  <c r="J1000" i="1"/>
  <c r="K1000" i="1"/>
  <c r="L1000" i="1"/>
  <c r="M1000" i="1"/>
  <c r="I1001" i="1"/>
  <c r="J1001" i="1"/>
  <c r="M1001" i="1" s="1"/>
  <c r="K1001" i="1"/>
  <c r="L1001" i="1"/>
  <c r="N1001" i="1" s="1"/>
  <c r="O1001" i="1" s="1"/>
  <c r="O2" i="1"/>
  <c r="N2" i="1"/>
  <c r="M2" i="1"/>
  <c r="L2" i="1"/>
  <c r="K2" i="1"/>
  <c r="J2" i="1"/>
  <c r="I2" i="1"/>
  <c r="N1000" i="1" l="1"/>
  <c r="O1000" i="1" s="1"/>
  <c r="N905" i="1"/>
  <c r="O905" i="1" s="1"/>
  <c r="N888" i="1"/>
  <c r="O888" i="1" s="1"/>
  <c r="N844" i="1"/>
  <c r="O844" i="1" s="1"/>
  <c r="N839" i="1"/>
  <c r="O839" i="1" s="1"/>
  <c r="N964" i="1"/>
  <c r="O964" i="1" s="1"/>
  <c r="N996" i="1"/>
  <c r="O996" i="1" s="1"/>
  <c r="N941" i="1"/>
  <c r="O941" i="1" s="1"/>
  <c r="N917" i="1"/>
  <c r="O917" i="1" s="1"/>
  <c r="N900" i="1"/>
  <c r="O900" i="1" s="1"/>
  <c r="N856" i="1"/>
  <c r="O856" i="1" s="1"/>
  <c r="N851" i="1"/>
  <c r="O851" i="1" s="1"/>
  <c r="N784" i="1"/>
  <c r="O784" i="1" s="1"/>
  <c r="N946" i="1"/>
  <c r="O946" i="1" s="1"/>
  <c r="N970" i="1"/>
  <c r="O970" i="1" s="1"/>
  <c r="N959" i="1"/>
  <c r="O959" i="1" s="1"/>
  <c r="N880" i="1"/>
  <c r="O880" i="1" s="1"/>
  <c r="N875" i="1"/>
  <c r="O875" i="1" s="1"/>
  <c r="N794" i="1"/>
  <c r="O794" i="1" s="1"/>
  <c r="N791" i="1"/>
  <c r="O791" i="1" s="1"/>
  <c r="N924" i="1"/>
  <c r="O924" i="1" s="1"/>
  <c r="N952" i="1"/>
  <c r="O952" i="1" s="1"/>
  <c r="N936" i="1"/>
  <c r="O936" i="1" s="1"/>
  <c r="N892" i="1"/>
  <c r="O892" i="1" s="1"/>
  <c r="N887" i="1"/>
  <c r="O887" i="1" s="1"/>
  <c r="N994" i="1"/>
  <c r="O994" i="1" s="1"/>
  <c r="N995" i="1"/>
  <c r="O995" i="1" s="1"/>
  <c r="N976" i="1"/>
  <c r="O976" i="1" s="1"/>
  <c r="N972" i="1"/>
  <c r="O972" i="1" s="1"/>
  <c r="N947" i="1"/>
  <c r="O947" i="1" s="1"/>
  <c r="N940" i="1"/>
  <c r="O940" i="1" s="1"/>
  <c r="N916" i="1"/>
  <c r="O916" i="1" s="1"/>
  <c r="N911" i="1"/>
  <c r="O911" i="1" s="1"/>
  <c r="N796" i="1"/>
  <c r="O796" i="1" s="1"/>
  <c r="N695" i="1"/>
  <c r="O695" i="1" s="1"/>
  <c r="N965" i="1"/>
  <c r="O965" i="1" s="1"/>
  <c r="N923" i="1"/>
  <c r="O923" i="1" s="1"/>
  <c r="N845" i="1"/>
  <c r="O845" i="1" s="1"/>
  <c r="N935" i="1"/>
  <c r="O935" i="1" s="1"/>
  <c r="N857" i="1"/>
  <c r="O857" i="1" s="1"/>
  <c r="N840" i="1"/>
  <c r="O840" i="1" s="1"/>
  <c r="N828" i="1"/>
  <c r="O828" i="1" s="1"/>
  <c r="N806" i="1"/>
  <c r="O806" i="1" s="1"/>
  <c r="N803" i="1"/>
  <c r="O803" i="1" s="1"/>
  <c r="N722" i="1"/>
  <c r="O722" i="1" s="1"/>
  <c r="N638" i="1"/>
  <c r="O638" i="1" s="1"/>
  <c r="N988" i="1"/>
  <c r="O988" i="1" s="1"/>
  <c r="N869" i="1"/>
  <c r="O869" i="1" s="1"/>
  <c r="N852" i="1"/>
  <c r="O852" i="1" s="1"/>
  <c r="N837" i="1"/>
  <c r="O837" i="1" s="1"/>
  <c r="N770" i="1"/>
  <c r="O770" i="1" s="1"/>
  <c r="N807" i="1"/>
  <c r="O807" i="1" s="1"/>
  <c r="N795" i="1"/>
  <c r="O795" i="1" s="1"/>
  <c r="N783" i="1"/>
  <c r="O783" i="1" s="1"/>
  <c r="N767" i="1"/>
  <c r="O767" i="1" s="1"/>
  <c r="N752" i="1"/>
  <c r="O752" i="1" s="1"/>
  <c r="N731" i="1"/>
  <c r="O731" i="1" s="1"/>
  <c r="N678" i="1"/>
  <c r="O678" i="1" s="1"/>
  <c r="N668" i="1"/>
  <c r="O668" i="1" s="1"/>
  <c r="N587" i="1"/>
  <c r="O587" i="1" s="1"/>
  <c r="N758" i="1"/>
  <c r="O758" i="1" s="1"/>
  <c r="N831" i="1"/>
  <c r="O831" i="1" s="1"/>
  <c r="N764" i="1"/>
  <c r="O764" i="1" s="1"/>
  <c r="N743" i="1"/>
  <c r="O743" i="1" s="1"/>
  <c r="N728" i="1"/>
  <c r="O728" i="1" s="1"/>
  <c r="N692" i="1"/>
  <c r="O692" i="1" s="1"/>
  <c r="N650" i="1"/>
  <c r="O650" i="1" s="1"/>
  <c r="N623" i="1"/>
  <c r="O623" i="1" s="1"/>
  <c r="N603" i="1"/>
  <c r="O603" i="1" s="1"/>
  <c r="N635" i="1"/>
  <c r="O635" i="1" s="1"/>
  <c r="N628" i="1"/>
  <c r="O628" i="1" s="1"/>
  <c r="N719" i="1"/>
  <c r="O719" i="1" s="1"/>
  <c r="N710" i="1"/>
  <c r="O710" i="1" s="1"/>
  <c r="N662" i="1"/>
  <c r="O662" i="1" s="1"/>
  <c r="N642" i="1"/>
  <c r="O642" i="1" s="1"/>
  <c r="N827" i="1"/>
  <c r="O827" i="1" s="1"/>
  <c r="N734" i="1"/>
  <c r="O734" i="1" s="1"/>
  <c r="N755" i="1"/>
  <c r="O755" i="1" s="1"/>
  <c r="N674" i="1"/>
  <c r="O674" i="1" s="1"/>
  <c r="N536" i="1"/>
  <c r="O536" i="1" s="1"/>
  <c r="N819" i="1"/>
  <c r="O819" i="1" s="1"/>
  <c r="N622" i="1"/>
  <c r="O622" i="1" s="1"/>
  <c r="N698" i="1"/>
  <c r="O698" i="1" s="1"/>
  <c r="N686" i="1"/>
  <c r="O686" i="1" s="1"/>
  <c r="N815" i="1"/>
  <c r="O815" i="1" s="1"/>
  <c r="N746" i="1"/>
  <c r="O746" i="1" s="1"/>
  <c r="N707" i="1"/>
  <c r="O707" i="1" s="1"/>
  <c r="N671" i="1"/>
  <c r="O671" i="1" s="1"/>
  <c r="N629" i="1"/>
  <c r="O629" i="1" s="1"/>
  <c r="N560" i="1"/>
  <c r="O560" i="1" s="1"/>
  <c r="N489" i="1"/>
  <c r="O489" i="1" s="1"/>
  <c r="N417" i="1"/>
  <c r="O417" i="1" s="1"/>
  <c r="N345" i="1"/>
  <c r="O345" i="1" s="1"/>
  <c r="N593" i="1"/>
  <c r="O593" i="1" s="1"/>
  <c r="N591" i="1"/>
  <c r="O591" i="1" s="1"/>
  <c r="N562" i="1"/>
  <c r="O562" i="1" s="1"/>
  <c r="N521" i="1"/>
  <c r="O521" i="1" s="1"/>
  <c r="N501" i="1"/>
  <c r="O501" i="1" s="1"/>
  <c r="N496" i="1"/>
  <c r="O496" i="1" s="1"/>
  <c r="N471" i="1"/>
  <c r="O471" i="1" s="1"/>
  <c r="N449" i="1"/>
  <c r="O449" i="1" s="1"/>
  <c r="N429" i="1"/>
  <c r="O429" i="1" s="1"/>
  <c r="N424" i="1"/>
  <c r="O424" i="1" s="1"/>
  <c r="N399" i="1"/>
  <c r="O399" i="1" s="1"/>
  <c r="N377" i="1"/>
  <c r="O377" i="1" s="1"/>
  <c r="N357" i="1"/>
  <c r="O357" i="1" s="1"/>
  <c r="N352" i="1"/>
  <c r="O352" i="1" s="1"/>
  <c r="N610" i="1"/>
  <c r="O610" i="1" s="1"/>
  <c r="N579" i="1"/>
  <c r="O579" i="1" s="1"/>
  <c r="N533" i="1"/>
  <c r="O533" i="1" s="1"/>
  <c r="N466" i="1"/>
  <c r="O466" i="1" s="1"/>
  <c r="N394" i="1"/>
  <c r="O394" i="1" s="1"/>
  <c r="N513" i="1"/>
  <c r="O513" i="1" s="1"/>
  <c r="N441" i="1"/>
  <c r="O441" i="1" s="1"/>
  <c r="N369" i="1"/>
  <c r="O369" i="1" s="1"/>
  <c r="N304" i="1"/>
  <c r="O304" i="1" s="1"/>
  <c r="N581" i="1"/>
  <c r="O581" i="1" s="1"/>
  <c r="N598" i="1"/>
  <c r="O598" i="1" s="1"/>
  <c r="N572" i="1"/>
  <c r="O572" i="1" s="1"/>
  <c r="N568" i="1"/>
  <c r="O568" i="1" s="1"/>
  <c r="N548" i="1"/>
  <c r="O548" i="1" s="1"/>
  <c r="N544" i="1"/>
  <c r="O544" i="1" s="1"/>
  <c r="N537" i="1"/>
  <c r="O537" i="1" s="1"/>
  <c r="N520" i="1"/>
  <c r="O520" i="1" s="1"/>
  <c r="N495" i="1"/>
  <c r="O495" i="1" s="1"/>
  <c r="N473" i="1"/>
  <c r="O473" i="1" s="1"/>
  <c r="N453" i="1"/>
  <c r="O453" i="1" s="1"/>
  <c r="N448" i="1"/>
  <c r="O448" i="1" s="1"/>
  <c r="N423" i="1"/>
  <c r="O423" i="1" s="1"/>
  <c r="N401" i="1"/>
  <c r="O401" i="1" s="1"/>
  <c r="N381" i="1"/>
  <c r="O381" i="1" s="1"/>
  <c r="N376" i="1"/>
  <c r="O376" i="1" s="1"/>
  <c r="N351" i="1"/>
  <c r="O351" i="1" s="1"/>
  <c r="N328" i="1"/>
  <c r="O328" i="1" s="1"/>
  <c r="N617" i="1"/>
  <c r="O617" i="1" s="1"/>
  <c r="N615" i="1"/>
  <c r="O615" i="1" s="1"/>
  <c r="N574" i="1"/>
  <c r="O574" i="1" s="1"/>
  <c r="N550" i="1"/>
  <c r="O550" i="1" s="1"/>
  <c r="N507" i="1"/>
  <c r="O507" i="1" s="1"/>
  <c r="N485" i="1"/>
  <c r="O485" i="1" s="1"/>
  <c r="N460" i="1"/>
  <c r="O460" i="1" s="1"/>
  <c r="N435" i="1"/>
  <c r="O435" i="1" s="1"/>
  <c r="N413" i="1"/>
  <c r="O413" i="1" s="1"/>
  <c r="N388" i="1"/>
  <c r="O388" i="1" s="1"/>
  <c r="N363" i="1"/>
  <c r="O363" i="1" s="1"/>
  <c r="N586" i="1"/>
  <c r="O586" i="1" s="1"/>
  <c r="N502" i="1"/>
  <c r="O502" i="1" s="1"/>
  <c r="N430" i="1"/>
  <c r="O430" i="1" s="1"/>
  <c r="N358" i="1"/>
  <c r="O358" i="1" s="1"/>
  <c r="N267" i="1"/>
  <c r="O267" i="1" s="1"/>
  <c r="N218" i="1"/>
  <c r="O218" i="1" s="1"/>
  <c r="N208" i="1"/>
  <c r="O208" i="1" s="1"/>
  <c r="N183" i="1"/>
  <c r="O183" i="1" s="1"/>
  <c r="N131" i="1"/>
  <c r="O131" i="1" s="1"/>
  <c r="N111" i="1"/>
  <c r="O111" i="1" s="1"/>
  <c r="N87" i="1"/>
  <c r="O87" i="1" s="1"/>
  <c r="N63" i="1"/>
  <c r="O63" i="1" s="1"/>
  <c r="N39" i="1"/>
  <c r="O39" i="1" s="1"/>
  <c r="N23" i="1"/>
  <c r="O23" i="1" s="1"/>
  <c r="N316" i="1"/>
  <c r="O316" i="1" s="1"/>
  <c r="N242" i="1"/>
  <c r="O242" i="1" s="1"/>
  <c r="N232" i="1"/>
  <c r="O232" i="1" s="1"/>
  <c r="N254" i="1"/>
  <c r="O254" i="1" s="1"/>
  <c r="N244" i="1"/>
  <c r="O244" i="1" s="1"/>
  <c r="N207" i="1"/>
  <c r="O207" i="1" s="1"/>
  <c r="N160" i="1"/>
  <c r="O160" i="1" s="1"/>
  <c r="N227" i="1"/>
  <c r="O227" i="1" s="1"/>
  <c r="N222" i="1"/>
  <c r="O222" i="1" s="1"/>
  <c r="N75" i="1"/>
  <c r="O75" i="1" s="1"/>
  <c r="N30" i="1"/>
  <c r="O30" i="1" s="1"/>
  <c r="N303" i="1"/>
  <c r="O303" i="1" s="1"/>
  <c r="N239" i="1"/>
  <c r="O239" i="1" s="1"/>
  <c r="N219" i="1"/>
  <c r="O219" i="1" s="1"/>
  <c r="N107" i="1"/>
  <c r="O107" i="1" s="1"/>
  <c r="N83" i="1"/>
  <c r="O83" i="1" s="1"/>
  <c r="N59" i="1"/>
  <c r="O59" i="1" s="1"/>
  <c r="N27" i="1"/>
  <c r="O27" i="1" s="1"/>
  <c r="N335" i="1"/>
  <c r="O335" i="1" s="1"/>
  <c r="N251" i="1"/>
  <c r="O251" i="1" s="1"/>
  <c r="N167" i="1"/>
  <c r="O167" i="1" s="1"/>
  <c r="N99" i="1"/>
  <c r="O99" i="1" s="1"/>
  <c r="N51" i="1"/>
  <c r="O51" i="1" s="1"/>
  <c r="N35" i="1"/>
  <c r="O35" i="1" s="1"/>
  <c r="N3" i="1"/>
  <c r="O3" i="1" s="1"/>
  <c r="N124" i="1"/>
  <c r="O124" i="1" s="1"/>
  <c r="N280" i="1"/>
  <c r="O280" i="1" s="1"/>
  <c r="N136" i="1"/>
  <c r="O136" i="1" s="1"/>
  <c r="N292" i="1"/>
  <c r="O292" i="1" s="1"/>
  <c r="N287" i="1"/>
  <c r="O287" i="1" s="1"/>
  <c r="N275" i="1"/>
  <c r="O275" i="1" s="1"/>
  <c r="N191" i="1"/>
  <c r="O191" i="1" s="1"/>
  <c r="N148" i="1"/>
  <c r="O148" i="1" s="1"/>
  <c r="N71" i="1"/>
  <c r="O71" i="1" s="1"/>
  <c r="N66" i="1"/>
  <c r="O66" i="1" s="1"/>
</calcChain>
</file>

<file path=xl/sharedStrings.xml><?xml version="1.0" encoding="utf-8"?>
<sst xmlns="http://schemas.openxmlformats.org/spreadsheetml/2006/main" count="6125" uniqueCount="1514">
  <si>
    <t>OrderID</t>
  </si>
  <si>
    <t>Date</t>
  </si>
  <si>
    <t>Customer</t>
  </si>
  <si>
    <t>Region</t>
  </si>
  <si>
    <t>Product</t>
  </si>
  <si>
    <t>Qty</t>
  </si>
  <si>
    <t>Unit Price</t>
  </si>
  <si>
    <t>Sales Rep</t>
  </si>
  <si>
    <t>O0001</t>
  </si>
  <si>
    <t>2026-06-11</t>
  </si>
  <si>
    <t>Customer 57</t>
  </si>
  <si>
    <t>Matara</t>
  </si>
  <si>
    <t>Laptop</t>
  </si>
  <si>
    <t>Nuwan</t>
  </si>
  <si>
    <t>O0002</t>
  </si>
  <si>
    <t>2026-05-14</t>
  </si>
  <si>
    <t>Customer 33</t>
  </si>
  <si>
    <t>Jaffna</t>
  </si>
  <si>
    <t>Printer</t>
  </si>
  <si>
    <t>Kasun</t>
  </si>
  <si>
    <t>O0003</t>
  </si>
  <si>
    <t>2026-10-28</t>
  </si>
  <si>
    <t>Customer 36</t>
  </si>
  <si>
    <t>Colombo</t>
  </si>
  <si>
    <t>Mouse</t>
  </si>
  <si>
    <t>Kavinda</t>
  </si>
  <si>
    <t>O0004</t>
  </si>
  <si>
    <t>2026-04-06</t>
  </si>
  <si>
    <t>Customer 32</t>
  </si>
  <si>
    <t>Badulla</t>
  </si>
  <si>
    <t>Tharindu</t>
  </si>
  <si>
    <t>O0005</t>
  </si>
  <si>
    <t>2026-12-06</t>
  </si>
  <si>
    <t>Customer 24</t>
  </si>
  <si>
    <t>Kandy</t>
  </si>
  <si>
    <t>USB</t>
  </si>
  <si>
    <t>Pasindu</t>
  </si>
  <si>
    <t>O0006</t>
  </si>
  <si>
    <t>2026-06-18</t>
  </si>
  <si>
    <t>Customer 38</t>
  </si>
  <si>
    <t>Monitor</t>
  </si>
  <si>
    <t>Dilshan</t>
  </si>
  <si>
    <t>O0007</t>
  </si>
  <si>
    <t>2026-03-04</t>
  </si>
  <si>
    <t>Customer 92</t>
  </si>
  <si>
    <t>Kurunegala</t>
  </si>
  <si>
    <t>O0008</t>
  </si>
  <si>
    <t>2026-03-26</t>
  </si>
  <si>
    <t>Customer 25</t>
  </si>
  <si>
    <t>Webcam</t>
  </si>
  <si>
    <t>Nimesh</t>
  </si>
  <si>
    <t>O0009</t>
  </si>
  <si>
    <t>2026-09-19</t>
  </si>
  <si>
    <t>Customer 31</t>
  </si>
  <si>
    <t>Headphones</t>
  </si>
  <si>
    <t>O0010</t>
  </si>
  <si>
    <t>2026-10-20</t>
  </si>
  <si>
    <t>Customer 53</t>
  </si>
  <si>
    <t>O0011</t>
  </si>
  <si>
    <t>2026-11-12</t>
  </si>
  <si>
    <t>Customer 61</t>
  </si>
  <si>
    <t>O0012</t>
  </si>
  <si>
    <t>2026-10-06</t>
  </si>
  <si>
    <t>Customer 12</t>
  </si>
  <si>
    <t>O0013</t>
  </si>
  <si>
    <t>2026-10-29</t>
  </si>
  <si>
    <t>Sachin</t>
  </si>
  <si>
    <t>O0014</t>
  </si>
  <si>
    <t>2026-02-21</t>
  </si>
  <si>
    <t>Customer 83</t>
  </si>
  <si>
    <t>O0015</t>
  </si>
  <si>
    <t>2026-08-06</t>
  </si>
  <si>
    <t>Customer 16</t>
  </si>
  <si>
    <t>O0016</t>
  </si>
  <si>
    <t>Customer 18</t>
  </si>
  <si>
    <t>O0017</t>
  </si>
  <si>
    <t>2026-07-10</t>
  </si>
  <si>
    <t>Customer 70</t>
  </si>
  <si>
    <t>O0018</t>
  </si>
  <si>
    <t>2026-09-04</t>
  </si>
  <si>
    <t>Customer 90</t>
  </si>
  <si>
    <t>O0019</t>
  </si>
  <si>
    <t>2026-04-29</t>
  </si>
  <si>
    <t>Customer 68</t>
  </si>
  <si>
    <t>O0020</t>
  </si>
  <si>
    <t>2026-05-06</t>
  </si>
  <si>
    <t>O0021</t>
  </si>
  <si>
    <t>2026-12-26</t>
  </si>
  <si>
    <t>Customer 98</t>
  </si>
  <si>
    <t>O0022</t>
  </si>
  <si>
    <t>2026-12-10</t>
  </si>
  <si>
    <t>Customer 56</t>
  </si>
  <si>
    <t>O0023</t>
  </si>
  <si>
    <t>2026-11-09</t>
  </si>
  <si>
    <t>Customer 44</t>
  </si>
  <si>
    <t>Shehan</t>
  </si>
  <si>
    <t>O0024</t>
  </si>
  <si>
    <t>2026-05-11</t>
  </si>
  <si>
    <t>Customer 41</t>
  </si>
  <si>
    <t>Keyboard</t>
  </si>
  <si>
    <t>O0025</t>
  </si>
  <si>
    <t>Customer 46</t>
  </si>
  <si>
    <t>O0026</t>
  </si>
  <si>
    <t>2026-12-09</t>
  </si>
  <si>
    <t>Customer 69</t>
  </si>
  <si>
    <t>O0027</t>
  </si>
  <si>
    <t>2026-01-26</t>
  </si>
  <si>
    <t>Customer 75</t>
  </si>
  <si>
    <t>O0028</t>
  </si>
  <si>
    <t>2026-06-25</t>
  </si>
  <si>
    <t>Customer 86</t>
  </si>
  <si>
    <t>Galle</t>
  </si>
  <si>
    <t>O0029</t>
  </si>
  <si>
    <t>2026-01-04</t>
  </si>
  <si>
    <t>Customer 95</t>
  </si>
  <si>
    <t>Negombo</t>
  </si>
  <si>
    <t>Amila</t>
  </si>
  <si>
    <t>O0030</t>
  </si>
  <si>
    <t>2026-08-18</t>
  </si>
  <si>
    <t>Customer 71</t>
  </si>
  <si>
    <t>O0031</t>
  </si>
  <si>
    <t>2026-12-27</t>
  </si>
  <si>
    <t>O0032</t>
  </si>
  <si>
    <t>2026-05-12</t>
  </si>
  <si>
    <t>SSD</t>
  </si>
  <si>
    <t>O0033</t>
  </si>
  <si>
    <t>2026-05-29</t>
  </si>
  <si>
    <t>Customer 10</t>
  </si>
  <si>
    <t>O0034</t>
  </si>
  <si>
    <t>2026-12-07</t>
  </si>
  <si>
    <t>O0035</t>
  </si>
  <si>
    <t>2026-05-16</t>
  </si>
  <si>
    <t>O0036</t>
  </si>
  <si>
    <t>2026-10-25</t>
  </si>
  <si>
    <t>Customer 72</t>
  </si>
  <si>
    <t>O0037</t>
  </si>
  <si>
    <t>2026-06-23</t>
  </si>
  <si>
    <t>Customer 9</t>
  </si>
  <si>
    <t>O0038</t>
  </si>
  <si>
    <t>2026-01-21</t>
  </si>
  <si>
    <t>Customer 73</t>
  </si>
  <si>
    <t>O0039</t>
  </si>
  <si>
    <t>2026-12-30</t>
  </si>
  <si>
    <t>Customer 60</t>
  </si>
  <si>
    <t>O0040</t>
  </si>
  <si>
    <t>2026-08-17</t>
  </si>
  <si>
    <t>O0041</t>
  </si>
  <si>
    <t>Customer 67</t>
  </si>
  <si>
    <t>O0042</t>
  </si>
  <si>
    <t>2026-05-01</t>
  </si>
  <si>
    <t>O0043</t>
  </si>
  <si>
    <t>2026-12-19</t>
  </si>
  <si>
    <t>Customer 30</t>
  </si>
  <si>
    <t>O0044</t>
  </si>
  <si>
    <t>O0045</t>
  </si>
  <si>
    <t>2026-01-31</t>
  </si>
  <si>
    <t>Customer 28</t>
  </si>
  <si>
    <t>O0046</t>
  </si>
  <si>
    <t>2026-08-15</t>
  </si>
  <si>
    <t>Customer 52</t>
  </si>
  <si>
    <t>O0047</t>
  </si>
  <si>
    <t>2026-03-13</t>
  </si>
  <si>
    <t>Customer 87</t>
  </si>
  <si>
    <t>O0048</t>
  </si>
  <si>
    <t>2026-05-05</t>
  </si>
  <si>
    <t>O0049</t>
  </si>
  <si>
    <t>2026-09-20</t>
  </si>
  <si>
    <t>Customer 78</t>
  </si>
  <si>
    <t>O0050</t>
  </si>
  <si>
    <t>2026-09-14</t>
  </si>
  <si>
    <t>Customer 34</t>
  </si>
  <si>
    <t>O0051</t>
  </si>
  <si>
    <t>2026-01-02</t>
  </si>
  <si>
    <t>Customer 99</t>
  </si>
  <si>
    <t>O0052</t>
  </si>
  <si>
    <t>2026-10-05</t>
  </si>
  <si>
    <t>Customer 26</t>
  </si>
  <si>
    <t>O0053</t>
  </si>
  <si>
    <t>2026-02-11</t>
  </si>
  <si>
    <t>Mobile</t>
  </si>
  <si>
    <t>O0054</t>
  </si>
  <si>
    <t>O0055</t>
  </si>
  <si>
    <t>2026-01-18</t>
  </si>
  <si>
    <t>O0056</t>
  </si>
  <si>
    <t>2026-06-16</t>
  </si>
  <si>
    <t>O0057</t>
  </si>
  <si>
    <t>Customer 66</t>
  </si>
  <si>
    <t>O0058</t>
  </si>
  <si>
    <t>2026-06-12</t>
  </si>
  <si>
    <t>Customer 27</t>
  </si>
  <si>
    <t>O0059</t>
  </si>
  <si>
    <t>2026-04-28</t>
  </si>
  <si>
    <t>O0060</t>
  </si>
  <si>
    <t>2026-06-19</t>
  </si>
  <si>
    <t>Customer 21</t>
  </si>
  <si>
    <t>O0061</t>
  </si>
  <si>
    <t>2026-03-22</t>
  </si>
  <si>
    <t>O0062</t>
  </si>
  <si>
    <t>2026-12-22</t>
  </si>
  <si>
    <t>O0063</t>
  </si>
  <si>
    <t>2026-10-02</t>
  </si>
  <si>
    <t>Customer 63</t>
  </si>
  <si>
    <t>O0064</t>
  </si>
  <si>
    <t>O0065</t>
  </si>
  <si>
    <t>2026-02-08</t>
  </si>
  <si>
    <t>O0066</t>
  </si>
  <si>
    <t>2026-04-30</t>
  </si>
  <si>
    <t>O0067</t>
  </si>
  <si>
    <t>2026-08-29</t>
  </si>
  <si>
    <t>Customer 43</t>
  </si>
  <si>
    <t>O0068</t>
  </si>
  <si>
    <t>2026-02-16</t>
  </si>
  <si>
    <t>Customer 1</t>
  </si>
  <si>
    <t>O0069</t>
  </si>
  <si>
    <t>2026-11-11</t>
  </si>
  <si>
    <t>O0070</t>
  </si>
  <si>
    <t>2026-07-07</t>
  </si>
  <si>
    <t>O0071</t>
  </si>
  <si>
    <t>2026-05-28</t>
  </si>
  <si>
    <t>O0072</t>
  </si>
  <si>
    <t>2026-09-01</t>
  </si>
  <si>
    <t>O0073</t>
  </si>
  <si>
    <t>O0074</t>
  </si>
  <si>
    <t>2026-09-16</t>
  </si>
  <si>
    <t>O0075</t>
  </si>
  <si>
    <t>2026-12-04</t>
  </si>
  <si>
    <t>Customer 79</t>
  </si>
  <si>
    <t>O0076</t>
  </si>
  <si>
    <t>O0077</t>
  </si>
  <si>
    <t>2026-05-26</t>
  </si>
  <si>
    <t>Customer 91</t>
  </si>
  <si>
    <t>O0078</t>
  </si>
  <si>
    <t>2026-12-11</t>
  </si>
  <si>
    <t>Customer 6</t>
  </si>
  <si>
    <t>O0079</t>
  </si>
  <si>
    <t>2026-09-10</t>
  </si>
  <si>
    <t>O0080</t>
  </si>
  <si>
    <t>2026-11-30</t>
  </si>
  <si>
    <t>O0081</t>
  </si>
  <si>
    <t>2026-12-25</t>
  </si>
  <si>
    <t>O0082</t>
  </si>
  <si>
    <t>2026-10-09</t>
  </si>
  <si>
    <t>O0083</t>
  </si>
  <si>
    <t>2026-07-01</t>
  </si>
  <si>
    <t>O0084</t>
  </si>
  <si>
    <t>2026-12-29</t>
  </si>
  <si>
    <t>O0085</t>
  </si>
  <si>
    <t>Customer 14</t>
  </si>
  <si>
    <t>O0086</t>
  </si>
  <si>
    <t>2026-12-28</t>
  </si>
  <si>
    <t>O0087</t>
  </si>
  <si>
    <t>2026-01-10</t>
  </si>
  <si>
    <t>O0088</t>
  </si>
  <si>
    <t>2026-08-07</t>
  </si>
  <si>
    <t>Customer 48</t>
  </si>
  <si>
    <t>O0089</t>
  </si>
  <si>
    <t>O0090</t>
  </si>
  <si>
    <t>2026-07-27</t>
  </si>
  <si>
    <t>O0091</t>
  </si>
  <si>
    <t>2026-12-03</t>
  </si>
  <si>
    <t>O0092</t>
  </si>
  <si>
    <t>O0093</t>
  </si>
  <si>
    <t>2026-11-10</t>
  </si>
  <si>
    <t>Customer 94</t>
  </si>
  <si>
    <t>O0094</t>
  </si>
  <si>
    <t>2026-07-14</t>
  </si>
  <si>
    <t>O0095</t>
  </si>
  <si>
    <t>2026-02-24</t>
  </si>
  <si>
    <t>O0096</t>
  </si>
  <si>
    <t>O0097</t>
  </si>
  <si>
    <t>2026-07-09</t>
  </si>
  <si>
    <t>O0098</t>
  </si>
  <si>
    <t>O0099</t>
  </si>
  <si>
    <t>2026-03-05</t>
  </si>
  <si>
    <t>O0100</t>
  </si>
  <si>
    <t>2026-11-29</t>
  </si>
  <si>
    <t>O0101</t>
  </si>
  <si>
    <t>O0102</t>
  </si>
  <si>
    <t>2026-11-23</t>
  </si>
  <si>
    <t>O0103</t>
  </si>
  <si>
    <t>2026-04-19</t>
  </si>
  <si>
    <t>O0104</t>
  </si>
  <si>
    <t>2026-03-01</t>
  </si>
  <si>
    <t>O0105</t>
  </si>
  <si>
    <t>2026-06-26</t>
  </si>
  <si>
    <t>Customer 100</t>
  </si>
  <si>
    <t>O0106</t>
  </si>
  <si>
    <t>2026-09-02</t>
  </si>
  <si>
    <t>Customer 45</t>
  </si>
  <si>
    <t>O0107</t>
  </si>
  <si>
    <t>2026-03-10</t>
  </si>
  <si>
    <t>O0108</t>
  </si>
  <si>
    <t>2026-03-30</t>
  </si>
  <si>
    <t>O0109</t>
  </si>
  <si>
    <t>Customer 80</t>
  </si>
  <si>
    <t>O0110</t>
  </si>
  <si>
    <t>2026-02-10</t>
  </si>
  <si>
    <t>O0111</t>
  </si>
  <si>
    <t>2026-01-11</t>
  </si>
  <si>
    <t>Customer 20</t>
  </si>
  <si>
    <t>O0112</t>
  </si>
  <si>
    <t>2026-06-15</t>
  </si>
  <si>
    <t>O0113</t>
  </si>
  <si>
    <t>Customer 23</t>
  </si>
  <si>
    <t>O0114</t>
  </si>
  <si>
    <t>2026-11-08</t>
  </si>
  <si>
    <t>O0115</t>
  </si>
  <si>
    <t>2026-11-27</t>
  </si>
  <si>
    <t>O0116</t>
  </si>
  <si>
    <t>2026-07-22</t>
  </si>
  <si>
    <t>O0117</t>
  </si>
  <si>
    <t>2026-03-21</t>
  </si>
  <si>
    <t>Customer 2</t>
  </si>
  <si>
    <t>O0118</t>
  </si>
  <si>
    <t>Customer 37</t>
  </si>
  <si>
    <t>O0119</t>
  </si>
  <si>
    <t>2026-06-06</t>
  </si>
  <si>
    <t>O0120</t>
  </si>
  <si>
    <t>Customer 47</t>
  </si>
  <si>
    <t>O0121</t>
  </si>
  <si>
    <t>2026-11-13</t>
  </si>
  <si>
    <t>O0122</t>
  </si>
  <si>
    <t>2026-04-04</t>
  </si>
  <si>
    <t>O0123</t>
  </si>
  <si>
    <t>2026-06-21</t>
  </si>
  <si>
    <t>O0124</t>
  </si>
  <si>
    <t>2026-06-27</t>
  </si>
  <si>
    <t>Customer 17</t>
  </si>
  <si>
    <t>O0125</t>
  </si>
  <si>
    <t>2026-11-14</t>
  </si>
  <si>
    <t>Customer 54</t>
  </si>
  <si>
    <t>O0126</t>
  </si>
  <si>
    <t>2026-02-02</t>
  </si>
  <si>
    <t>O0127</t>
  </si>
  <si>
    <t>2026-06-01</t>
  </si>
  <si>
    <t>O0128</t>
  </si>
  <si>
    <t>2026-08-20</t>
  </si>
  <si>
    <t>Customer 81</t>
  </si>
  <si>
    <t>O0129</t>
  </si>
  <si>
    <t>2026-03-19</t>
  </si>
  <si>
    <t>O0130</t>
  </si>
  <si>
    <t>Customer 22</t>
  </si>
  <si>
    <t>O0131</t>
  </si>
  <si>
    <t>2026-06-17</t>
  </si>
  <si>
    <t>O0132</t>
  </si>
  <si>
    <t>2026-05-20</t>
  </si>
  <si>
    <t>Customer 84</t>
  </si>
  <si>
    <t>O0133</t>
  </si>
  <si>
    <t>2026-09-30</t>
  </si>
  <si>
    <t>O0134</t>
  </si>
  <si>
    <t>2026-10-27</t>
  </si>
  <si>
    <t>O0135</t>
  </si>
  <si>
    <t>2026-05-10</t>
  </si>
  <si>
    <t>Customer 93</t>
  </si>
  <si>
    <t>O0136</t>
  </si>
  <si>
    <t>2026-12-23</t>
  </si>
  <si>
    <t>O0137</t>
  </si>
  <si>
    <t>O0138</t>
  </si>
  <si>
    <t>2026-10-15</t>
  </si>
  <si>
    <t>O0139</t>
  </si>
  <si>
    <t>2026-03-03</t>
  </si>
  <si>
    <t>O0140</t>
  </si>
  <si>
    <t>O0141</t>
  </si>
  <si>
    <t>O0142</t>
  </si>
  <si>
    <t>2026-11-15</t>
  </si>
  <si>
    <t>O0143</t>
  </si>
  <si>
    <t>2026-09-12</t>
  </si>
  <si>
    <t>O0144</t>
  </si>
  <si>
    <t>O0145</t>
  </si>
  <si>
    <t>2026-07-17</t>
  </si>
  <si>
    <t>Customer 65</t>
  </si>
  <si>
    <t>O0146</t>
  </si>
  <si>
    <t>2026-05-21</t>
  </si>
  <si>
    <t>O0147</t>
  </si>
  <si>
    <t>2026-03-12</t>
  </si>
  <si>
    <t>Customer 11</t>
  </si>
  <si>
    <t>O0148</t>
  </si>
  <si>
    <t>2026-10-23</t>
  </si>
  <si>
    <t>O0149</t>
  </si>
  <si>
    <t>2026-01-13</t>
  </si>
  <si>
    <t>O0150</t>
  </si>
  <si>
    <t>2026-11-07</t>
  </si>
  <si>
    <t>Customer 96</t>
  </si>
  <si>
    <t>O0151</t>
  </si>
  <si>
    <t>Customer 40</t>
  </si>
  <si>
    <t>O0152</t>
  </si>
  <si>
    <t>2026-07-03</t>
  </si>
  <si>
    <t>Customer 8</t>
  </si>
  <si>
    <t>O0153</t>
  </si>
  <si>
    <t>2026-01-08</t>
  </si>
  <si>
    <t>O0154</t>
  </si>
  <si>
    <t>O0155</t>
  </si>
  <si>
    <t>O0156</t>
  </si>
  <si>
    <t>2026-11-26</t>
  </si>
  <si>
    <t>Customer 42</t>
  </si>
  <si>
    <t>O0157</t>
  </si>
  <si>
    <t>2026-12-18</t>
  </si>
  <si>
    <t>O0158</t>
  </si>
  <si>
    <t>2026-07-11</t>
  </si>
  <si>
    <t>O0159</t>
  </si>
  <si>
    <t>Customer 29</t>
  </si>
  <si>
    <t>O0160</t>
  </si>
  <si>
    <t>2026-09-08</t>
  </si>
  <si>
    <t>Customer 19</t>
  </si>
  <si>
    <t>O0161</t>
  </si>
  <si>
    <t>2026-02-09</t>
  </si>
  <si>
    <t>O0162</t>
  </si>
  <si>
    <t>2026-04-14</t>
  </si>
  <si>
    <t>O0163</t>
  </si>
  <si>
    <t>2026-03-09</t>
  </si>
  <si>
    <t>O0164</t>
  </si>
  <si>
    <t>2026-03-14</t>
  </si>
  <si>
    <t>O0165</t>
  </si>
  <si>
    <t>2026-07-23</t>
  </si>
  <si>
    <t>O0166</t>
  </si>
  <si>
    <t>O0167</t>
  </si>
  <si>
    <t>O0168</t>
  </si>
  <si>
    <t>2026-02-06</t>
  </si>
  <si>
    <t>O0169</t>
  </si>
  <si>
    <t>2026-07-13</t>
  </si>
  <si>
    <t>O0170</t>
  </si>
  <si>
    <t>2026-08-13</t>
  </si>
  <si>
    <t>Customer 55</t>
  </si>
  <si>
    <t>O0171</t>
  </si>
  <si>
    <t>2026-10-11</t>
  </si>
  <si>
    <t>O0172</t>
  </si>
  <si>
    <t>O0173</t>
  </si>
  <si>
    <t>2026-09-22</t>
  </si>
  <si>
    <t>O0174</t>
  </si>
  <si>
    <t>2026-08-28</t>
  </si>
  <si>
    <t>O0175</t>
  </si>
  <si>
    <t>2026-06-14</t>
  </si>
  <si>
    <t>Customer 49</t>
  </si>
  <si>
    <t>O0176</t>
  </si>
  <si>
    <t>2026-08-21</t>
  </si>
  <si>
    <t>O0177</t>
  </si>
  <si>
    <t>O0178</t>
  </si>
  <si>
    <t>2026-04-25</t>
  </si>
  <si>
    <t>O0179</t>
  </si>
  <si>
    <t>2026-04-23</t>
  </si>
  <si>
    <t>O0180</t>
  </si>
  <si>
    <t>O0181</t>
  </si>
  <si>
    <t>2026-05-18</t>
  </si>
  <si>
    <t>O0182</t>
  </si>
  <si>
    <t>2026-01-25</t>
  </si>
  <si>
    <t>O0183</t>
  </si>
  <si>
    <t>O0184</t>
  </si>
  <si>
    <t>2026-05-02</t>
  </si>
  <si>
    <t>O0185</t>
  </si>
  <si>
    <t>2026-08-25</t>
  </si>
  <si>
    <t>O0186</t>
  </si>
  <si>
    <t>O0187</t>
  </si>
  <si>
    <t>O0188</t>
  </si>
  <si>
    <t>2026-08-16</t>
  </si>
  <si>
    <t>Customer 88</t>
  </si>
  <si>
    <t>O0189</t>
  </si>
  <si>
    <t>2026-09-07</t>
  </si>
  <si>
    <t>O0190</t>
  </si>
  <si>
    <t>2026-05-30</t>
  </si>
  <si>
    <t>O0191</t>
  </si>
  <si>
    <t>O0192</t>
  </si>
  <si>
    <t>2026-02-07</t>
  </si>
  <si>
    <t>O0193</t>
  </si>
  <si>
    <t>O0194</t>
  </si>
  <si>
    <t>2026-05-07</t>
  </si>
  <si>
    <t>O0195</t>
  </si>
  <si>
    <t>Customer 39</t>
  </si>
  <si>
    <t>O0196</t>
  </si>
  <si>
    <t>O0197</t>
  </si>
  <si>
    <t>O0198</t>
  </si>
  <si>
    <t>Customer 51</t>
  </si>
  <si>
    <t>O0199</t>
  </si>
  <si>
    <t>2026-07-19</t>
  </si>
  <si>
    <t>O0200</t>
  </si>
  <si>
    <t>2026-04-15</t>
  </si>
  <si>
    <t>O0201</t>
  </si>
  <si>
    <t>Customer 5</t>
  </si>
  <si>
    <t>O0202</t>
  </si>
  <si>
    <t>2026-11-24</t>
  </si>
  <si>
    <t>O0203</t>
  </si>
  <si>
    <t>2026-06-09</t>
  </si>
  <si>
    <t>Customer 50</t>
  </si>
  <si>
    <t>O0204</t>
  </si>
  <si>
    <t>2026-08-26</t>
  </si>
  <si>
    <t>O0205</t>
  </si>
  <si>
    <t>O0206</t>
  </si>
  <si>
    <t>2026-11-20</t>
  </si>
  <si>
    <t>O0207</t>
  </si>
  <si>
    <t>2026-01-05</t>
  </si>
  <si>
    <t>O0208</t>
  </si>
  <si>
    <t>2026-12-15</t>
  </si>
  <si>
    <t>Customer 85</t>
  </si>
  <si>
    <t>O0209</t>
  </si>
  <si>
    <t>2026-08-30</t>
  </si>
  <si>
    <t>O0210</t>
  </si>
  <si>
    <t>2026-07-02</t>
  </si>
  <si>
    <t>O0211</t>
  </si>
  <si>
    <t>2026-11-18</t>
  </si>
  <si>
    <t>O0212</t>
  </si>
  <si>
    <t>2026-03-25</t>
  </si>
  <si>
    <t>O0213</t>
  </si>
  <si>
    <t>2026-04-22</t>
  </si>
  <si>
    <t>Customer 82</t>
  </si>
  <si>
    <t>O0214</t>
  </si>
  <si>
    <t>2026-09-26</t>
  </si>
  <si>
    <t>O0215</t>
  </si>
  <si>
    <t>2026-08-24</t>
  </si>
  <si>
    <t>O0216</t>
  </si>
  <si>
    <t>O0217</t>
  </si>
  <si>
    <t>2026-05-22</t>
  </si>
  <si>
    <t>O0218</t>
  </si>
  <si>
    <t>O0219</t>
  </si>
  <si>
    <t>2026-04-27</t>
  </si>
  <si>
    <t>O0220</t>
  </si>
  <si>
    <t>2026-05-31</t>
  </si>
  <si>
    <t>O0221</t>
  </si>
  <si>
    <t>2026-07-24</t>
  </si>
  <si>
    <t>O0222</t>
  </si>
  <si>
    <t>O0223</t>
  </si>
  <si>
    <t>O0224</t>
  </si>
  <si>
    <t>2026-02-20</t>
  </si>
  <si>
    <t>O0225</t>
  </si>
  <si>
    <t>O0226</t>
  </si>
  <si>
    <t>2026-11-19</t>
  </si>
  <si>
    <t>O0227</t>
  </si>
  <si>
    <t>2026-01-03</t>
  </si>
  <si>
    <t>Customer 74</t>
  </si>
  <si>
    <t>O0228</t>
  </si>
  <si>
    <t>2026-04-13</t>
  </si>
  <si>
    <t>O0229</t>
  </si>
  <si>
    <t>2026-11-02</t>
  </si>
  <si>
    <t>O0230</t>
  </si>
  <si>
    <t>2026-02-13</t>
  </si>
  <si>
    <t>O0231</t>
  </si>
  <si>
    <t>O0232</t>
  </si>
  <si>
    <t>O0233</t>
  </si>
  <si>
    <t>Customer 64</t>
  </si>
  <si>
    <t>O0234</t>
  </si>
  <si>
    <t>O0235</t>
  </si>
  <si>
    <t>Customer 58</t>
  </si>
  <si>
    <t>O0236</t>
  </si>
  <si>
    <t>2026-12-24</t>
  </si>
  <si>
    <t>O0237</t>
  </si>
  <si>
    <t>Customer 4</t>
  </si>
  <si>
    <t>O0238</t>
  </si>
  <si>
    <t>O0239</t>
  </si>
  <si>
    <t>O0240</t>
  </si>
  <si>
    <t>2026-01-16</t>
  </si>
  <si>
    <t>O0241</t>
  </si>
  <si>
    <t>2026-10-18</t>
  </si>
  <si>
    <t>O0242</t>
  </si>
  <si>
    <t>2026-03-18</t>
  </si>
  <si>
    <t>O0243</t>
  </si>
  <si>
    <t>2026-02-05</t>
  </si>
  <si>
    <t>O0244</t>
  </si>
  <si>
    <t>2026-06-22</t>
  </si>
  <si>
    <t>O0245</t>
  </si>
  <si>
    <t>O0246</t>
  </si>
  <si>
    <t>2026-05-17</t>
  </si>
  <si>
    <t>O0247</t>
  </si>
  <si>
    <t>O0248</t>
  </si>
  <si>
    <t>2026-06-29</t>
  </si>
  <si>
    <t>O0249</t>
  </si>
  <si>
    <t>O0250</t>
  </si>
  <si>
    <t>O0251</t>
  </si>
  <si>
    <t>2026-01-20</t>
  </si>
  <si>
    <t>O0252</t>
  </si>
  <si>
    <t>O0253</t>
  </si>
  <si>
    <t>Customer 13</t>
  </si>
  <si>
    <t>O0254</t>
  </si>
  <si>
    <t>O0255</t>
  </si>
  <si>
    <t>2026-11-03</t>
  </si>
  <si>
    <t>O0256</t>
  </si>
  <si>
    <t>2026-04-18</t>
  </si>
  <si>
    <t>O0257</t>
  </si>
  <si>
    <t>2026-10-30</t>
  </si>
  <si>
    <t>Customer 89</t>
  </si>
  <si>
    <t>O0258</t>
  </si>
  <si>
    <t>2026-07-30</t>
  </si>
  <si>
    <t>O0259</t>
  </si>
  <si>
    <t>2026-04-10</t>
  </si>
  <si>
    <t>O0260</t>
  </si>
  <si>
    <t>O0261</t>
  </si>
  <si>
    <t>O0262</t>
  </si>
  <si>
    <t>O0263</t>
  </si>
  <si>
    <t>2026-07-31</t>
  </si>
  <si>
    <t>O0264</t>
  </si>
  <si>
    <t>O0265</t>
  </si>
  <si>
    <t>O0266</t>
  </si>
  <si>
    <t>O0267</t>
  </si>
  <si>
    <t>2026-04-11</t>
  </si>
  <si>
    <t>O0268</t>
  </si>
  <si>
    <t>2026-12-21</t>
  </si>
  <si>
    <t>O0269</t>
  </si>
  <si>
    <t>O0270</t>
  </si>
  <si>
    <t>O0271</t>
  </si>
  <si>
    <t>2026-08-03</t>
  </si>
  <si>
    <t>O0272</t>
  </si>
  <si>
    <t>O0273</t>
  </si>
  <si>
    <t>O0274</t>
  </si>
  <si>
    <t>O0275</t>
  </si>
  <si>
    <t>O0276</t>
  </si>
  <si>
    <t>2026-03-29</t>
  </si>
  <si>
    <t>O0277</t>
  </si>
  <si>
    <t>2026-07-08</t>
  </si>
  <si>
    <t>O0278</t>
  </si>
  <si>
    <t>2026-07-15</t>
  </si>
  <si>
    <t>O0279</t>
  </si>
  <si>
    <t>O0280</t>
  </si>
  <si>
    <t>O0281</t>
  </si>
  <si>
    <t>O0282</t>
  </si>
  <si>
    <t>O0283</t>
  </si>
  <si>
    <t>O0284</t>
  </si>
  <si>
    <t>O0285</t>
  </si>
  <si>
    <t>Customer 3</t>
  </si>
  <si>
    <t>O0286</t>
  </si>
  <si>
    <t>O0287</t>
  </si>
  <si>
    <t>2026-04-20</t>
  </si>
  <si>
    <t>O0288</t>
  </si>
  <si>
    <t>O0289</t>
  </si>
  <si>
    <t>2026-05-15</t>
  </si>
  <si>
    <t>O0290</t>
  </si>
  <si>
    <t>2026-10-19</t>
  </si>
  <si>
    <t>O0291</t>
  </si>
  <si>
    <t>2026-02-12</t>
  </si>
  <si>
    <t>O0292</t>
  </si>
  <si>
    <t>O0293</t>
  </si>
  <si>
    <t>O0294</t>
  </si>
  <si>
    <t>O0295</t>
  </si>
  <si>
    <t>O0296</t>
  </si>
  <si>
    <t>Customer 59</t>
  </si>
  <si>
    <t>O0297</t>
  </si>
  <si>
    <t>2026-02-22</t>
  </si>
  <si>
    <t>O0298</t>
  </si>
  <si>
    <t>O0299</t>
  </si>
  <si>
    <t>2026-08-08</t>
  </si>
  <si>
    <t>O0300</t>
  </si>
  <si>
    <t>2026-12-17</t>
  </si>
  <si>
    <t>O0301</t>
  </si>
  <si>
    <t>2026-08-27</t>
  </si>
  <si>
    <t>O0302</t>
  </si>
  <si>
    <t>2026-09-03</t>
  </si>
  <si>
    <t>O0303</t>
  </si>
  <si>
    <t>2026-01-22</t>
  </si>
  <si>
    <t>O0304</t>
  </si>
  <si>
    <t>O0305</t>
  </si>
  <si>
    <t>2026-07-26</t>
  </si>
  <si>
    <t>O0306</t>
  </si>
  <si>
    <t>O0307</t>
  </si>
  <si>
    <t>O0308</t>
  </si>
  <si>
    <t>O0309</t>
  </si>
  <si>
    <t>O0310</t>
  </si>
  <si>
    <t>2026-05-27</t>
  </si>
  <si>
    <t>O0311</t>
  </si>
  <si>
    <t>2026-10-26</t>
  </si>
  <si>
    <t>O0312</t>
  </si>
  <si>
    <t>2026-07-29</t>
  </si>
  <si>
    <t>O0313</t>
  </si>
  <si>
    <t>O0314</t>
  </si>
  <si>
    <t>2026-05-25</t>
  </si>
  <si>
    <t>O0315</t>
  </si>
  <si>
    <t>O0316</t>
  </si>
  <si>
    <t>2026-08-09</t>
  </si>
  <si>
    <t>O0317</t>
  </si>
  <si>
    <t>2026-10-17</t>
  </si>
  <si>
    <t>O0318</t>
  </si>
  <si>
    <t>2026-03-17</t>
  </si>
  <si>
    <t>O0319</t>
  </si>
  <si>
    <t>2026-10-24</t>
  </si>
  <si>
    <t>O0320</t>
  </si>
  <si>
    <t>2026-04-03</t>
  </si>
  <si>
    <t>O0321</t>
  </si>
  <si>
    <t>O0322</t>
  </si>
  <si>
    <t>O0323</t>
  </si>
  <si>
    <t>2026-02-01</t>
  </si>
  <si>
    <t>O0324</t>
  </si>
  <si>
    <t>O0325</t>
  </si>
  <si>
    <t>2026-02-03</t>
  </si>
  <si>
    <t>O0326</t>
  </si>
  <si>
    <t>O0327</t>
  </si>
  <si>
    <t>2026-05-09</t>
  </si>
  <si>
    <t>O0328</t>
  </si>
  <si>
    <t>O0329</t>
  </si>
  <si>
    <t>O0330</t>
  </si>
  <si>
    <t>O0331</t>
  </si>
  <si>
    <t>2026-08-23</t>
  </si>
  <si>
    <t>O0332</t>
  </si>
  <si>
    <t>O0333</t>
  </si>
  <si>
    <t>O0334</t>
  </si>
  <si>
    <t>O0335</t>
  </si>
  <si>
    <t>O0336</t>
  </si>
  <si>
    <t>2026-03-06</t>
  </si>
  <si>
    <t>O0337</t>
  </si>
  <si>
    <t>O0338</t>
  </si>
  <si>
    <t>2026-04-01</t>
  </si>
  <si>
    <t>O0339</t>
  </si>
  <si>
    <t>O0340</t>
  </si>
  <si>
    <t>Customer 62</t>
  </si>
  <si>
    <t>O0341</t>
  </si>
  <si>
    <t>2026-12-20</t>
  </si>
  <si>
    <t>O0342</t>
  </si>
  <si>
    <t>O0343</t>
  </si>
  <si>
    <t>2026-11-06</t>
  </si>
  <si>
    <t>Customer 35</t>
  </si>
  <si>
    <t>O0344</t>
  </si>
  <si>
    <t>2026-05-13</t>
  </si>
  <si>
    <t>O0345</t>
  </si>
  <si>
    <t>2026-01-29</t>
  </si>
  <si>
    <t>O0346</t>
  </si>
  <si>
    <t>O0347</t>
  </si>
  <si>
    <t>2026-06-13</t>
  </si>
  <si>
    <t>O0348</t>
  </si>
  <si>
    <t>O0349</t>
  </si>
  <si>
    <t>O0350</t>
  </si>
  <si>
    <t>2026-12-01</t>
  </si>
  <si>
    <t>O0351</t>
  </si>
  <si>
    <t>O0352</t>
  </si>
  <si>
    <t>2026-04-09</t>
  </si>
  <si>
    <t>O0353</t>
  </si>
  <si>
    <t>O0354</t>
  </si>
  <si>
    <t>2026-08-22</t>
  </si>
  <si>
    <t>O0355</t>
  </si>
  <si>
    <t>2026-09-29</t>
  </si>
  <si>
    <t>O0356</t>
  </si>
  <si>
    <t>2026-04-16</t>
  </si>
  <si>
    <t>O0357</t>
  </si>
  <si>
    <t>2026-05-03</t>
  </si>
  <si>
    <t>O0358</t>
  </si>
  <si>
    <t>2026-12-14</t>
  </si>
  <si>
    <t>Customer 77</t>
  </si>
  <si>
    <t>O0359</t>
  </si>
  <si>
    <t>Customer 7</t>
  </si>
  <si>
    <t>O0360</t>
  </si>
  <si>
    <t>O0361</t>
  </si>
  <si>
    <t>2026-10-01</t>
  </si>
  <si>
    <t>O0362</t>
  </si>
  <si>
    <t>2026-02-14</t>
  </si>
  <si>
    <t>O0363</t>
  </si>
  <si>
    <t>O0364</t>
  </si>
  <si>
    <t>2026-10-31</t>
  </si>
  <si>
    <t>O0365</t>
  </si>
  <si>
    <t>O0366</t>
  </si>
  <si>
    <t>Customer 76</t>
  </si>
  <si>
    <t>O0367</t>
  </si>
  <si>
    <t>O0368</t>
  </si>
  <si>
    <t>O0369</t>
  </si>
  <si>
    <t>O0370</t>
  </si>
  <si>
    <t>2026-03-20</t>
  </si>
  <si>
    <t>O0371</t>
  </si>
  <si>
    <t>O0372</t>
  </si>
  <si>
    <t>O0373</t>
  </si>
  <si>
    <t>2026-02-18</t>
  </si>
  <si>
    <t>O0374</t>
  </si>
  <si>
    <t>O0375</t>
  </si>
  <si>
    <t>O0376</t>
  </si>
  <si>
    <t>O0377</t>
  </si>
  <si>
    <t>O0378</t>
  </si>
  <si>
    <t>O0379</t>
  </si>
  <si>
    <t>O0380</t>
  </si>
  <si>
    <t>O0381</t>
  </si>
  <si>
    <t>2026-09-28</t>
  </si>
  <si>
    <t>O0382</t>
  </si>
  <si>
    <t>2026-10-07</t>
  </si>
  <si>
    <t>O0383</t>
  </si>
  <si>
    <t>2026-06-04</t>
  </si>
  <si>
    <t>O0384</t>
  </si>
  <si>
    <t>O0385</t>
  </si>
  <si>
    <t>O0386</t>
  </si>
  <si>
    <t>2026-06-07</t>
  </si>
  <si>
    <t>O0387</t>
  </si>
  <si>
    <t>O0388</t>
  </si>
  <si>
    <t>O0389</t>
  </si>
  <si>
    <t>O0390</t>
  </si>
  <si>
    <t>O0391</t>
  </si>
  <si>
    <t>O0392</t>
  </si>
  <si>
    <t>O0393</t>
  </si>
  <si>
    <t>2026-02-19</t>
  </si>
  <si>
    <t>O0394</t>
  </si>
  <si>
    <t>2026-03-23</t>
  </si>
  <si>
    <t>O0395</t>
  </si>
  <si>
    <t>O0396</t>
  </si>
  <si>
    <t>O0397</t>
  </si>
  <si>
    <t>O0398</t>
  </si>
  <si>
    <t>2026-09-17</t>
  </si>
  <si>
    <t>O0399</t>
  </si>
  <si>
    <t>O0400</t>
  </si>
  <si>
    <t>O0401</t>
  </si>
  <si>
    <t>2026-03-27</t>
  </si>
  <si>
    <t>O0402</t>
  </si>
  <si>
    <t>O0403</t>
  </si>
  <si>
    <t>O0404</t>
  </si>
  <si>
    <t>O0405</t>
  </si>
  <si>
    <t>O0406</t>
  </si>
  <si>
    <t>O0407</t>
  </si>
  <si>
    <t>O0408</t>
  </si>
  <si>
    <t>2026-08-31</t>
  </si>
  <si>
    <t>O0409</t>
  </si>
  <si>
    <t>2026-11-05</t>
  </si>
  <si>
    <t>O0410</t>
  </si>
  <si>
    <t>O0411</t>
  </si>
  <si>
    <t>O0412</t>
  </si>
  <si>
    <t>O0413</t>
  </si>
  <si>
    <t>2026-05-08</t>
  </si>
  <si>
    <t>O0414</t>
  </si>
  <si>
    <t>O0415</t>
  </si>
  <si>
    <t>2026-04-26</t>
  </si>
  <si>
    <t>O0416</t>
  </si>
  <si>
    <t>O0417</t>
  </si>
  <si>
    <t>O0418</t>
  </si>
  <si>
    <t>2026-01-07</t>
  </si>
  <si>
    <t>O0419</t>
  </si>
  <si>
    <t>O0420</t>
  </si>
  <si>
    <t>O0421</t>
  </si>
  <si>
    <t>2026-03-07</t>
  </si>
  <si>
    <t>O0422</t>
  </si>
  <si>
    <t>O0423</t>
  </si>
  <si>
    <t>O0424</t>
  </si>
  <si>
    <t>O0425</t>
  </si>
  <si>
    <t>O0426</t>
  </si>
  <si>
    <t>O0427</t>
  </si>
  <si>
    <t>O0428</t>
  </si>
  <si>
    <t>O0429</t>
  </si>
  <si>
    <t>2026-06-05</t>
  </si>
  <si>
    <t>O0430</t>
  </si>
  <si>
    <t>O0431</t>
  </si>
  <si>
    <t>O0432</t>
  </si>
  <si>
    <t>O0433</t>
  </si>
  <si>
    <t>O0434</t>
  </si>
  <si>
    <t>O0435</t>
  </si>
  <si>
    <t>O0436</t>
  </si>
  <si>
    <t>O0437</t>
  </si>
  <si>
    <t>Customer 97</t>
  </si>
  <si>
    <t>O0438</t>
  </si>
  <si>
    <t>2026-02-27</t>
  </si>
  <si>
    <t>O0439</t>
  </si>
  <si>
    <t>O0440</t>
  </si>
  <si>
    <t>O0441</t>
  </si>
  <si>
    <t>O0442</t>
  </si>
  <si>
    <t>O0443</t>
  </si>
  <si>
    <t>O0444</t>
  </si>
  <si>
    <t>O0445</t>
  </si>
  <si>
    <t>O0446</t>
  </si>
  <si>
    <t>Customer 15</t>
  </si>
  <si>
    <t>O0447</t>
  </si>
  <si>
    <t>O0448</t>
  </si>
  <si>
    <t>O0449</t>
  </si>
  <si>
    <t>O0450</t>
  </si>
  <si>
    <t>O0451</t>
  </si>
  <si>
    <t>2026-03-28</t>
  </si>
  <si>
    <t>O0452</t>
  </si>
  <si>
    <t>O0453</t>
  </si>
  <si>
    <t>O0454</t>
  </si>
  <si>
    <t>O0455</t>
  </si>
  <si>
    <t>2026-10-08</t>
  </si>
  <si>
    <t>O0456</t>
  </si>
  <si>
    <t>O0457</t>
  </si>
  <si>
    <t>O0458</t>
  </si>
  <si>
    <t>O0459</t>
  </si>
  <si>
    <t>O0460</t>
  </si>
  <si>
    <t>O0461</t>
  </si>
  <si>
    <t>2026-03-16</t>
  </si>
  <si>
    <t>O0462</t>
  </si>
  <si>
    <t>O0463</t>
  </si>
  <si>
    <t>O0464</t>
  </si>
  <si>
    <t>O0465</t>
  </si>
  <si>
    <t>O0466</t>
  </si>
  <si>
    <t>2026-06-30</t>
  </si>
  <si>
    <t>O0467</t>
  </si>
  <si>
    <t>O0468</t>
  </si>
  <si>
    <t>O0469</t>
  </si>
  <si>
    <t>O0470</t>
  </si>
  <si>
    <t>O0471</t>
  </si>
  <si>
    <t>O0472</t>
  </si>
  <si>
    <t>2026-10-22</t>
  </si>
  <si>
    <t>O0473</t>
  </si>
  <si>
    <t>O0474</t>
  </si>
  <si>
    <t>O0475</t>
  </si>
  <si>
    <t>O0476</t>
  </si>
  <si>
    <t>O0477</t>
  </si>
  <si>
    <t>2026-01-30</t>
  </si>
  <si>
    <t>O0478</t>
  </si>
  <si>
    <t>O0479</t>
  </si>
  <si>
    <t>O0480</t>
  </si>
  <si>
    <t>O0481</t>
  </si>
  <si>
    <t>O0482</t>
  </si>
  <si>
    <t>2026-12-31</t>
  </si>
  <si>
    <t>O0483</t>
  </si>
  <si>
    <t>O0484</t>
  </si>
  <si>
    <t>O0485</t>
  </si>
  <si>
    <t>O0486</t>
  </si>
  <si>
    <t>O0487</t>
  </si>
  <si>
    <t>O0488</t>
  </si>
  <si>
    <t>O0489</t>
  </si>
  <si>
    <t>O0490</t>
  </si>
  <si>
    <t>O0491</t>
  </si>
  <si>
    <t>O0492</t>
  </si>
  <si>
    <t>O0493</t>
  </si>
  <si>
    <t>2026-08-02</t>
  </si>
  <si>
    <t>O0494</t>
  </si>
  <si>
    <t>2026-11-21</t>
  </si>
  <si>
    <t>O0495</t>
  </si>
  <si>
    <t>O0496</t>
  </si>
  <si>
    <t>O0497</t>
  </si>
  <si>
    <t>O0498</t>
  </si>
  <si>
    <t>O0499</t>
  </si>
  <si>
    <t>O0500</t>
  </si>
  <si>
    <t>O0501</t>
  </si>
  <si>
    <t>O0502</t>
  </si>
  <si>
    <t>O0503</t>
  </si>
  <si>
    <t>2026-12-08</t>
  </si>
  <si>
    <t>O0504</t>
  </si>
  <si>
    <t>2026-06-28</t>
  </si>
  <si>
    <t>O0505</t>
  </si>
  <si>
    <t>O0506</t>
  </si>
  <si>
    <t>O0507</t>
  </si>
  <si>
    <t>O0508</t>
  </si>
  <si>
    <t>2026-09-24</t>
  </si>
  <si>
    <t>O0509</t>
  </si>
  <si>
    <t>O0510</t>
  </si>
  <si>
    <t>2026-09-21</t>
  </si>
  <si>
    <t>O0511</t>
  </si>
  <si>
    <t>O0512</t>
  </si>
  <si>
    <t>2026-02-26</t>
  </si>
  <si>
    <t>O0513</t>
  </si>
  <si>
    <t>O0514</t>
  </si>
  <si>
    <t>2026-03-31</t>
  </si>
  <si>
    <t>O0515</t>
  </si>
  <si>
    <t>O0516</t>
  </si>
  <si>
    <t>O0517</t>
  </si>
  <si>
    <t>O0518</t>
  </si>
  <si>
    <t>2026-07-28</t>
  </si>
  <si>
    <t>O0519</t>
  </si>
  <si>
    <t>O0520</t>
  </si>
  <si>
    <t>O0521</t>
  </si>
  <si>
    <t>O0522</t>
  </si>
  <si>
    <t>O0523</t>
  </si>
  <si>
    <t>2026-10-04</t>
  </si>
  <si>
    <t>O0524</t>
  </si>
  <si>
    <t>O0525</t>
  </si>
  <si>
    <t>2026-03-08</t>
  </si>
  <si>
    <t>O0526</t>
  </si>
  <si>
    <t>O0527</t>
  </si>
  <si>
    <t>2026-11-17</t>
  </si>
  <si>
    <t>O0528</t>
  </si>
  <si>
    <t>O0529</t>
  </si>
  <si>
    <t>2026-12-16</t>
  </si>
  <si>
    <t>O0530</t>
  </si>
  <si>
    <t>O0531</t>
  </si>
  <si>
    <t>2026-06-24</t>
  </si>
  <si>
    <t>O0532</t>
  </si>
  <si>
    <t>2026-01-28</t>
  </si>
  <si>
    <t>O0533</t>
  </si>
  <si>
    <t>O0534</t>
  </si>
  <si>
    <t>2026-08-04</t>
  </si>
  <si>
    <t>O0535</t>
  </si>
  <si>
    <t>O0536</t>
  </si>
  <si>
    <t>O0537</t>
  </si>
  <si>
    <t>O0538</t>
  </si>
  <si>
    <t>O0539</t>
  </si>
  <si>
    <t>O0540</t>
  </si>
  <si>
    <t>2026-08-01</t>
  </si>
  <si>
    <t>O0541</t>
  </si>
  <si>
    <t>O0542</t>
  </si>
  <si>
    <t>O0543</t>
  </si>
  <si>
    <t>O0544</t>
  </si>
  <si>
    <t>O0545</t>
  </si>
  <si>
    <t>O0546</t>
  </si>
  <si>
    <t>O0547</t>
  </si>
  <si>
    <t>O0548</t>
  </si>
  <si>
    <t>O0549</t>
  </si>
  <si>
    <t>O0550</t>
  </si>
  <si>
    <t>O0551</t>
  </si>
  <si>
    <t>O0552</t>
  </si>
  <si>
    <t>O0553</t>
  </si>
  <si>
    <t>O0554</t>
  </si>
  <si>
    <t>O0555</t>
  </si>
  <si>
    <t>2026-01-06</t>
  </si>
  <si>
    <t>O0556</t>
  </si>
  <si>
    <t>O0557</t>
  </si>
  <si>
    <t>O0558</t>
  </si>
  <si>
    <t>2026-07-18</t>
  </si>
  <si>
    <t>O0559</t>
  </si>
  <si>
    <t>O0560</t>
  </si>
  <si>
    <t>O0561</t>
  </si>
  <si>
    <t>O0562</t>
  </si>
  <si>
    <t>O0563</t>
  </si>
  <si>
    <t>O0564</t>
  </si>
  <si>
    <t>O0565</t>
  </si>
  <si>
    <t>O0566</t>
  </si>
  <si>
    <t>O0567</t>
  </si>
  <si>
    <t>O0568</t>
  </si>
  <si>
    <t>O0569</t>
  </si>
  <si>
    <t>O0570</t>
  </si>
  <si>
    <t>O0571</t>
  </si>
  <si>
    <t>2026-09-18</t>
  </si>
  <si>
    <t>O0572</t>
  </si>
  <si>
    <t>O0573</t>
  </si>
  <si>
    <t>O0574</t>
  </si>
  <si>
    <t>O0575</t>
  </si>
  <si>
    <t>O0576</t>
  </si>
  <si>
    <t>O0577</t>
  </si>
  <si>
    <t>O0578</t>
  </si>
  <si>
    <t>O0579</t>
  </si>
  <si>
    <t>O0580</t>
  </si>
  <si>
    <t>2026-07-25</t>
  </si>
  <si>
    <t>O0581</t>
  </si>
  <si>
    <t>O0582</t>
  </si>
  <si>
    <t>O0583</t>
  </si>
  <si>
    <t>O0584</t>
  </si>
  <si>
    <t>O0585</t>
  </si>
  <si>
    <t>O0586</t>
  </si>
  <si>
    <t>2026-08-19</t>
  </si>
  <si>
    <t>O0587</t>
  </si>
  <si>
    <t>O0588</t>
  </si>
  <si>
    <t>O0589</t>
  </si>
  <si>
    <t>O0590</t>
  </si>
  <si>
    <t>O0591</t>
  </si>
  <si>
    <t>2026-06-10</t>
  </si>
  <si>
    <t>O0592</t>
  </si>
  <si>
    <t>O0593</t>
  </si>
  <si>
    <t>O0594</t>
  </si>
  <si>
    <t>O0595</t>
  </si>
  <si>
    <t>O0596</t>
  </si>
  <si>
    <t>O0597</t>
  </si>
  <si>
    <t>O0598</t>
  </si>
  <si>
    <t>O0599</t>
  </si>
  <si>
    <t>O0600</t>
  </si>
  <si>
    <t>O0601</t>
  </si>
  <si>
    <t>O0602</t>
  </si>
  <si>
    <t>O0603</t>
  </si>
  <si>
    <t>O0604</t>
  </si>
  <si>
    <t>O0605</t>
  </si>
  <si>
    <t>O0606</t>
  </si>
  <si>
    <t>O0607</t>
  </si>
  <si>
    <t>2026-10-10</t>
  </si>
  <si>
    <t>O0608</t>
  </si>
  <si>
    <t>O0609</t>
  </si>
  <si>
    <t>O0610</t>
  </si>
  <si>
    <t>2026-04-17</t>
  </si>
  <si>
    <t>O0611</t>
  </si>
  <si>
    <t>O0612</t>
  </si>
  <si>
    <t>O0613</t>
  </si>
  <si>
    <t>O0614</t>
  </si>
  <si>
    <t>2026-05-19</t>
  </si>
  <si>
    <t>O0615</t>
  </si>
  <si>
    <t>O0616</t>
  </si>
  <si>
    <t>O0617</t>
  </si>
  <si>
    <t>O0618</t>
  </si>
  <si>
    <t>O0619</t>
  </si>
  <si>
    <t>2026-07-16</t>
  </si>
  <si>
    <t>O0620</t>
  </si>
  <si>
    <t>O0621</t>
  </si>
  <si>
    <t>2026-03-11</t>
  </si>
  <si>
    <t>O0622</t>
  </si>
  <si>
    <t>O0623</t>
  </si>
  <si>
    <t>O0624</t>
  </si>
  <si>
    <t>O0625</t>
  </si>
  <si>
    <t>2026-01-14</t>
  </si>
  <si>
    <t>O0626</t>
  </si>
  <si>
    <t>O0627</t>
  </si>
  <si>
    <t>O0628</t>
  </si>
  <si>
    <t>2026-02-23</t>
  </si>
  <si>
    <t>O0629</t>
  </si>
  <si>
    <t>O0630</t>
  </si>
  <si>
    <t>2026-07-20</t>
  </si>
  <si>
    <t>O0631</t>
  </si>
  <si>
    <t>O0632</t>
  </si>
  <si>
    <t>2026-10-14</t>
  </si>
  <si>
    <t>O0633</t>
  </si>
  <si>
    <t>O0634</t>
  </si>
  <si>
    <t>O0635</t>
  </si>
  <si>
    <t>O0636</t>
  </si>
  <si>
    <t>O0637</t>
  </si>
  <si>
    <t>O0638</t>
  </si>
  <si>
    <t>O0639</t>
  </si>
  <si>
    <t>O0640</t>
  </si>
  <si>
    <t>O0641</t>
  </si>
  <si>
    <t>O0642</t>
  </si>
  <si>
    <t>O0643</t>
  </si>
  <si>
    <t>2026-11-25</t>
  </si>
  <si>
    <t>O0644</t>
  </si>
  <si>
    <t>O0645</t>
  </si>
  <si>
    <t>O0646</t>
  </si>
  <si>
    <t>O0647</t>
  </si>
  <si>
    <t>2026-04-07</t>
  </si>
  <si>
    <t>O0648</t>
  </si>
  <si>
    <t>2026-01-19</t>
  </si>
  <si>
    <t>O0649</t>
  </si>
  <si>
    <t>O0650</t>
  </si>
  <si>
    <t>O0651</t>
  </si>
  <si>
    <t>2026-08-14</t>
  </si>
  <si>
    <t>O0652</t>
  </si>
  <si>
    <t>O0653</t>
  </si>
  <si>
    <t>2026-04-24</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</si>
  <si>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</si>
  <si>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</si>
  <si>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</si>
  <si>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</si>
  <si>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</si>
  <si>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</si>
  <si>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</si>
  <si>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</si>
  <si>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</si>
  <si>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</si>
  <si>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</si>
  <si>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</si>
  <si>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</si>
  <si>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</si>
  <si>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</si>
  <si>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</si>
  <si>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</si>
  <si>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</si>
  <si>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</si>
  <si>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</si>
  <si>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</si>
  <si>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2026-03-02</t>
  </si>
  <si>
    <t>O0675</t>
  </si>
  <si>
    <t>O0676</t>
  </si>
  <si>
    <t>O0677</t>
  </si>
  <si>
    <t>O0678</t>
  </si>
  <si>
    <t>2026-01-01</t>
  </si>
  <si>
    <t>O0679</t>
  </si>
  <si>
    <t>O0680</t>
  </si>
  <si>
    <t>O0681</t>
  </si>
  <si>
    <t>O0682</t>
  </si>
  <si>
    <t>2026-01-23</t>
  </si>
  <si>
    <t>O0683</t>
  </si>
  <si>
    <t>O0684</t>
  </si>
  <si>
    <t>O0685</t>
  </si>
  <si>
    <t>O0686</t>
  </si>
  <si>
    <t>O0687</t>
  </si>
  <si>
    <t>2026-01-24</t>
  </si>
  <si>
    <t>O0688</t>
  </si>
  <si>
    <t>O0689</t>
  </si>
  <si>
    <t>2026-09-27</t>
  </si>
  <si>
    <t>O0690</t>
  </si>
  <si>
    <t>O0691</t>
  </si>
  <si>
    <t>2026-12-12</t>
  </si>
  <si>
    <t>O0692</t>
  </si>
  <si>
    <t>O0693</t>
  </si>
  <si>
    <t>O0694</t>
  </si>
  <si>
    <t>O0695</t>
  </si>
  <si>
    <t>O0696</t>
  </si>
  <si>
    <t>O0697</t>
  </si>
  <si>
    <t>O0698</t>
  </si>
  <si>
    <t>O0699</t>
  </si>
  <si>
    <t>O0700</t>
  </si>
  <si>
    <t>O0701</t>
  </si>
  <si>
    <t>O0702</t>
  </si>
  <si>
    <t>O0703</t>
  </si>
  <si>
    <t>O0704</t>
  </si>
  <si>
    <t>O0705</t>
  </si>
  <si>
    <t>O0706</t>
  </si>
  <si>
    <t>2026-09-06</t>
  </si>
  <si>
    <t>O0707</t>
  </si>
  <si>
    <t>O0708</t>
  </si>
  <si>
    <t>O0709</t>
  </si>
  <si>
    <t>O0710</t>
  </si>
  <si>
    <t>O0711</t>
  </si>
  <si>
    <t>O0712</t>
  </si>
  <si>
    <t>O0713</t>
  </si>
  <si>
    <t>O0714</t>
  </si>
  <si>
    <t>O0715</t>
  </si>
  <si>
    <t>O0716</t>
  </si>
  <si>
    <t>O0717</t>
  </si>
  <si>
    <t>O0718</t>
  </si>
  <si>
    <t>O0719</t>
  </si>
  <si>
    <t>O0720</t>
  </si>
  <si>
    <t>O0721</t>
  </si>
  <si>
    <t>2026-03-15</t>
  </si>
  <si>
    <t>O0722</t>
  </si>
  <si>
    <t>O0723</t>
  </si>
  <si>
    <t>O0724</t>
  </si>
  <si>
    <t>O0725</t>
  </si>
  <si>
    <t>O0726</t>
  </si>
  <si>
    <t>O0727</t>
  </si>
  <si>
    <t>2026-02-28</t>
  </si>
  <si>
    <t>O0728</t>
  </si>
  <si>
    <t>O0729</t>
  </si>
  <si>
    <t>O0730</t>
  </si>
  <si>
    <t>O0731</t>
  </si>
  <si>
    <t>2026-06-20</t>
  </si>
  <si>
    <t>O0732</t>
  </si>
  <si>
    <t>O0733</t>
  </si>
  <si>
    <t>O0734</t>
  </si>
  <si>
    <t>O0735</t>
  </si>
  <si>
    <t>O0736</t>
  </si>
  <si>
    <t>O0737</t>
  </si>
  <si>
    <t>2026-04-21</t>
  </si>
  <si>
    <t>O0738</t>
  </si>
  <si>
    <t>O0739</t>
  </si>
  <si>
    <t>O0740</t>
  </si>
  <si>
    <t>O0741</t>
  </si>
  <si>
    <t>2026-02-15</t>
  </si>
  <si>
    <t>O0742</t>
  </si>
  <si>
    <t>O0743</t>
  </si>
  <si>
    <t>O0744</t>
  </si>
  <si>
    <t>O0745</t>
  </si>
  <si>
    <t>2026-01-15</t>
  </si>
  <si>
    <t>O0746</t>
  </si>
  <si>
    <t>O0747</t>
  </si>
  <si>
    <t>O0748</t>
  </si>
  <si>
    <t>O0749</t>
  </si>
  <si>
    <t>O0750</t>
  </si>
  <si>
    <t>O0751</t>
  </si>
  <si>
    <t>O0752</t>
  </si>
  <si>
    <t>O0753</t>
  </si>
  <si>
    <t>O0754</t>
  </si>
  <si>
    <t>O0755</t>
  </si>
  <si>
    <t>O0756</t>
  </si>
  <si>
    <t>O0757</t>
  </si>
  <si>
    <t>O0758</t>
  </si>
  <si>
    <t>O0759</t>
  </si>
  <si>
    <t>O0760</t>
  </si>
  <si>
    <t>2026-08-11</t>
  </si>
  <si>
    <t>O0761</t>
  </si>
  <si>
    <t>2026-09-11</t>
  </si>
  <si>
    <t>O0762</t>
  </si>
  <si>
    <t>O0763</t>
  </si>
  <si>
    <t>O0764</t>
  </si>
  <si>
    <t>O0765</t>
  </si>
  <si>
    <t>O0766</t>
  </si>
  <si>
    <t>O0767</t>
  </si>
  <si>
    <t>O0768</t>
  </si>
  <si>
    <t>2026-10-21</t>
  </si>
  <si>
    <t>O0769</t>
  </si>
  <si>
    <t>O0770</t>
  </si>
  <si>
    <t>O0771</t>
  </si>
  <si>
    <t>O0772</t>
  </si>
  <si>
    <t>O0773</t>
  </si>
  <si>
    <t>O0774</t>
  </si>
  <si>
    <t>O0775</t>
  </si>
  <si>
    <t>O0776</t>
  </si>
  <si>
    <t>O0777</t>
  </si>
  <si>
    <t>O0778</t>
  </si>
  <si>
    <t>O0779</t>
  </si>
  <si>
    <t>O0780</t>
  </si>
  <si>
    <t>O0781</t>
  </si>
  <si>
    <t>O0782</t>
  </si>
  <si>
    <t>O0783</t>
  </si>
  <si>
    <t>2026-05-24</t>
  </si>
  <si>
    <t>O0784</t>
  </si>
  <si>
    <t>O0785</t>
  </si>
  <si>
    <t>O0786</t>
  </si>
  <si>
    <t>O0787</t>
  </si>
  <si>
    <t>O0788</t>
  </si>
  <si>
    <t>2026-02-17</t>
  </si>
  <si>
    <t>O0789</t>
  </si>
  <si>
    <t>O0790</t>
  </si>
  <si>
    <t>O0791</t>
  </si>
  <si>
    <t>O0792</t>
  </si>
  <si>
    <t>2026-06-03</t>
  </si>
  <si>
    <t>O0793</t>
  </si>
  <si>
    <t>O0794</t>
  </si>
  <si>
    <t>O0795</t>
  </si>
  <si>
    <t>O0796</t>
  </si>
  <si>
    <t>2026-07-12</t>
  </si>
  <si>
    <t>O0797</t>
  </si>
  <si>
    <t>2026-02-25</t>
  </si>
  <si>
    <t>O0798</t>
  </si>
  <si>
    <t>O0799</t>
  </si>
  <si>
    <t>O0800</t>
  </si>
  <si>
    <t>O0801</t>
  </si>
  <si>
    <t>2026-09-15</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</si>
  <si>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</si>
  <si>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</si>
  <si>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</si>
  <si>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</si>
  <si>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</si>
  <si>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</si>
  <si>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</si>
  <si>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</si>
  <si>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</si>
  <si>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</si>
  <si>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</si>
  <si>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</si>
  <si>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</si>
  <si>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</si>
  <si>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</si>
  <si>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</si>
  <si>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</si>
  <si>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</si>
  <si>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</si>
  <si>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</si>
  <si>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</si>
  <si>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</si>
  <si>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</si>
  <si>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</si>
  <si>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</si>
  <si>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</si>
  <si>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</si>
  <si>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</si>
  <si>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</si>
  <si>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</si>
  <si>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</si>
  <si>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</si>
  <si>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</si>
  <si>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</si>
  <si>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</si>
  <si>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</si>
  <si>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2026-07-05</t>
  </si>
  <si>
    <t>O0838</t>
  </si>
  <si>
    <t>O0839</t>
  </si>
  <si>
    <t>O0840</t>
  </si>
  <si>
    <t>O0841</t>
  </si>
  <si>
    <t>O0842</t>
  </si>
  <si>
    <t>O0843</t>
  </si>
  <si>
    <t>O0844</t>
  </si>
  <si>
    <t>O0845</t>
  </si>
  <si>
    <t>O0846</t>
  </si>
  <si>
    <t>O0847</t>
  </si>
  <si>
    <t>O0848</t>
  </si>
  <si>
    <t>O0849</t>
  </si>
  <si>
    <t>O0850</t>
  </si>
  <si>
    <t>O0851</t>
  </si>
  <si>
    <t>O0852</t>
  </si>
  <si>
    <t>O0853</t>
  </si>
  <si>
    <t>O0854</t>
  </si>
  <si>
    <t>O0855</t>
  </si>
  <si>
    <t>2026-02-04</t>
  </si>
  <si>
    <t>O0856</t>
  </si>
  <si>
    <t>O0857</t>
  </si>
  <si>
    <t>O0858</t>
  </si>
  <si>
    <t>O0859</t>
  </si>
  <si>
    <t>2026-05-04</t>
  </si>
  <si>
    <t>O0860</t>
  </si>
  <si>
    <t>O0861</t>
  </si>
  <si>
    <t>O0862</t>
  </si>
  <si>
    <t>O0863</t>
  </si>
  <si>
    <t>O0864</t>
  </si>
  <si>
    <t>O0865</t>
  </si>
  <si>
    <t>O0866</t>
  </si>
  <si>
    <t>O0867</t>
  </si>
  <si>
    <t>O0868</t>
  </si>
  <si>
    <t>O0869</t>
  </si>
  <si>
    <t>O0870</t>
  </si>
  <si>
    <t>O0871</t>
  </si>
  <si>
    <t>2026-09-05</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</si>
  <si>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</si>
  <si>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</si>
  <si>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</si>
  <si>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</si>
  <si>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</si>
  <si>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</si>
  <si>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</si>
  <si>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</si>
  <si>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</si>
  <si>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</si>
  <si>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</si>
  <si>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</si>
  <si>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</si>
  <si>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</si>
  <si>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</si>
  <si>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</si>
  <si>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</si>
  <si>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</si>
  <si>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</si>
  <si>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</si>
  <si>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</si>
  <si>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</si>
  <si>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</si>
  <si>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</si>
  <si>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</si>
  <si>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2026-08-12</t>
  </si>
  <si>
    <t>O0897</t>
  </si>
  <si>
    <t>O0898</t>
  </si>
  <si>
    <t>O0899</t>
  </si>
  <si>
    <t>O0900</t>
  </si>
  <si>
    <t>O0901</t>
  </si>
  <si>
    <t>O0902</t>
  </si>
  <si>
    <t>O0903</t>
  </si>
  <si>
    <t>O0904</t>
  </si>
  <si>
    <t>2026-11-28</t>
  </si>
  <si>
    <t>O0905</t>
  </si>
  <si>
    <t>O0906</t>
  </si>
  <si>
    <t>O0907</t>
  </si>
  <si>
    <t>O0908</t>
  </si>
  <si>
    <t>O0909</t>
  </si>
  <si>
    <t>O0910</t>
  </si>
  <si>
    <t>2026-12-02</t>
  </si>
  <si>
    <t>O0911</t>
  </si>
  <si>
    <t>2026-03-24</t>
  </si>
  <si>
    <t>O0912</t>
  </si>
  <si>
    <t>O0913</t>
  </si>
  <si>
    <t>O0914</t>
  </si>
  <si>
    <t>O0915</t>
  </si>
  <si>
    <t>O0916</t>
  </si>
  <si>
    <t>O0917</t>
  </si>
  <si>
    <t>O0918</t>
  </si>
  <si>
    <t>O0919</t>
  </si>
  <si>
    <t>O0920</t>
  </si>
  <si>
    <t>O0921</t>
  </si>
  <si>
    <t>O0922</t>
  </si>
  <si>
    <t>2026-01-09</t>
  </si>
  <si>
    <t>O0923</t>
  </si>
  <si>
    <t>O0924</t>
  </si>
  <si>
    <t>O0925</t>
  </si>
  <si>
    <t>O0926</t>
  </si>
  <si>
    <t>O0927</t>
  </si>
  <si>
    <t>O0928</t>
  </si>
  <si>
    <t>O0929</t>
  </si>
  <si>
    <t>O0930</t>
  </si>
  <si>
    <t>O0931</t>
  </si>
  <si>
    <t>O0932</t>
  </si>
  <si>
    <t>O0933</t>
  </si>
  <si>
    <t>2026-09-09</t>
  </si>
  <si>
    <t>O0934</t>
  </si>
  <si>
    <t>O0935</t>
  </si>
  <si>
    <t>O0936</t>
  </si>
  <si>
    <t>O0937</t>
  </si>
  <si>
    <t>O0938</t>
  </si>
  <si>
    <t>O0939</t>
  </si>
  <si>
    <t>O0940</t>
  </si>
  <si>
    <t>O0941</t>
  </si>
  <si>
    <t>O0942</t>
  </si>
  <si>
    <t>O0943</t>
  </si>
  <si>
    <t>O0944</t>
  </si>
  <si>
    <t>O0945</t>
  </si>
  <si>
    <t>O0946</t>
  </si>
  <si>
    <t>2026-10-16</t>
  </si>
  <si>
    <t>O0947</t>
  </si>
  <si>
    <t>O0948</t>
  </si>
  <si>
    <t>O0949</t>
  </si>
  <si>
    <t>O0950</t>
  </si>
  <si>
    <t>O0951</t>
  </si>
  <si>
    <t>O0952</t>
  </si>
  <si>
    <t>O0953</t>
  </si>
  <si>
    <t>O0954</t>
  </si>
  <si>
    <t>O0955</t>
  </si>
  <si>
    <t>O0956</t>
  </si>
  <si>
    <t>2026-12-05</t>
  </si>
  <si>
    <t>O0957</t>
  </si>
  <si>
    <t>O0958</t>
  </si>
  <si>
    <t>O0959</t>
  </si>
  <si>
    <t>O0960</t>
  </si>
  <si>
    <t>O0961</t>
  </si>
  <si>
    <t>O0962</t>
  </si>
  <si>
    <t>2026-10-03</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</si>
  <si>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</si>
  <si>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</si>
  <si>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</si>
  <si>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</si>
  <si>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</si>
  <si>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</si>
  <si>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</si>
  <si>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</si>
  <si>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</si>
  <si>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</si>
  <si>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</si>
  <si>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</si>
  <si>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</si>
  <si>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</si>
  <si>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</si>
  <si>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</si>
  <si>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</si>
  <si>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</si>
  <si>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</si>
  <si>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</si>
  <si>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</si>
  <si>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</si>
  <si>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</si>
  <si>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</si>
  <si>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</si>
  <si>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</si>
  <si>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</si>
  <si>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</si>
  <si>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</si>
  <si>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</si>
  <si>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</si>
  <si>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</si>
  <si>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</si>
  <si>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2026-06-02</t>
  </si>
  <si>
    <t>O0996</t>
  </si>
  <si>
    <t>2026-12-13</t>
  </si>
  <si>
    <t>O0997</t>
  </si>
  <si>
    <t>O0998</t>
  </si>
  <si>
    <t>O0999</t>
  </si>
  <si>
    <t>O1000</t>
  </si>
  <si>
    <t>Category</t>
  </si>
  <si>
    <t>Cost Price</t>
  </si>
  <si>
    <t>Brand</t>
  </si>
  <si>
    <t>Electronics</t>
  </si>
  <si>
    <t>Dell</t>
  </si>
  <si>
    <t>LG</t>
  </si>
  <si>
    <t>Accessories</t>
  </si>
  <si>
    <t>Logitech</t>
  </si>
  <si>
    <t>Sony</t>
  </si>
  <si>
    <t>Samsung</t>
  </si>
  <si>
    <t>HP</t>
  </si>
  <si>
    <t>Storage</t>
  </si>
  <si>
    <t>Kingston</t>
  </si>
  <si>
    <t>SanDisk</t>
  </si>
  <si>
    <t>Target</t>
  </si>
  <si>
    <t>Total Cost</t>
  </si>
  <si>
    <t>Profit</t>
  </si>
  <si>
    <t>Profit Margin %</t>
  </si>
  <si>
    <t xml:space="preserve">Brand </t>
  </si>
  <si>
    <t>Total Sale</t>
  </si>
  <si>
    <t>Grand Total</t>
  </si>
  <si>
    <t>Sum of Total Sale</t>
  </si>
  <si>
    <t>January</t>
  </si>
  <si>
    <t>February</t>
  </si>
  <si>
    <t>March</t>
  </si>
  <si>
    <t>April</t>
  </si>
  <si>
    <t>May</t>
  </si>
  <si>
    <t>June</t>
  </si>
  <si>
    <t>July</t>
  </si>
  <si>
    <t>August</t>
  </si>
  <si>
    <t>September</t>
  </si>
  <si>
    <t>October</t>
  </si>
  <si>
    <t>November</t>
  </si>
  <si>
    <t>December</t>
  </si>
  <si>
    <t>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</si>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</sst>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70" formatCode="_-[$Rs.-849]* #,##0.00_-;\-[$Rs.-849]* #,##0.00_-;_-[$Rs.-849]* &quot;-&quot;??_-;_-@_-"/>
  </numFmts>
  <fonts count="4">
    <font>
      <sz val="11"/>
      <color theme="1"/>
      <name val="Calibri"/>
      <family val="2"/>
      <scheme val="minor"/>
    </font>
    <font>
      <sz val="11"/>
      <color theme="1"/>
      <name val="Calibri"/>
      <family val="2"/>
      <scheme val="minor"/>
    </font>
    <font>
      <sz val="18"/>
      <color theme="3"/>
      <name val="Cambria"/>
      <family val="2"/>
      <scheme val="major"/>
    </font>
    <font>
      <b/>
      <sz val="48"/>
      <color theme="3"/>
      <name val="Cambria"/>
      <family val="1"/>
      <scheme val="major"/>
    </font>
  </fonts>
  <fills count="2">
    <fill>
      <patternFill patternType="none"/>
    </fill>
    <fill>
      <patternFill patternType="gray125"/>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9">
    <xf numFmtId="0" fontId="0" fillId="0" borderId="0" xfId="0"/>
    <xf numFmtId="0" fontId="0" fillId="0" borderId="0" xfId="0" applyAlignment="1">
      <alignment horizontal="center"/>
    </xf>
    <xf numFmtId="9" fontId="0" fillId="0" borderId="0" xfId="2" applyFont="1"/>
    <xf numFmtId="0" fontId="0" fillId="0" borderId="0" xfId="0" pivotButton="1"/>
    <xf numFmtId="0" fontId="0" fillId="0" borderId="0" xfId="0" applyAlignment="1">
      <alignment horizontal="left"/>
    </xf>
    <xf numFmtId="0" fontId="2" fillId="0" borderId="0" xfId="3" applyAlignment="1">
      <alignment horizontal="center" vertical="center"/>
    </xf>
    <xf numFmtId="170" fontId="0" fillId="0" borderId="0" xfId="0" applyNumberFormat="1"/>
    <xf numFmtId="170" fontId="0" fillId="0" borderId="0" xfId="1" applyNumberFormat="1" applyFont="1"/>
    <xf numFmtId="0" fontId="3" fillId="0" borderId="0" xfId="3" applyFont="1" applyAlignment="1">
      <alignment horizontal="center" vertical="center"/>
    </xf>
  </cellXfs>
  <cellStyles count="4">
    <cellStyle name="Currency" xfId="1" builtinId="4"/>
    <cellStyle name="Normal" xfId="0" builtinId="0"/>
    <cellStyle name="Percent" xfId="2" builtinId="5"/>
    <cellStyle name="Title" xfId="3" builtinId="15"/>
  </cellStyles>
  <dxfs count="13">
    <dxf>
      <numFmt numFmtId="170" formatCode="_-[$Rs.-849]* #,##0.00_-;\-[$Rs.-849]* #,##0.00_-;_-[$Rs.-849]* &quot;-&quot;??_-;_-@_-"/>
    </dxf>
    <dxf>
      <numFmt numFmtId="170" formatCode="_-[$Rs.-849]* #,##0.00_-;\-[$Rs.-849]* #,##0.00_-;_-[$Rs.-849]* &quot;-&quot;??_-;_-@_-"/>
    </dxf>
    <dxf>
      <numFmt numFmtId="170" formatCode="_-[$Rs.-849]* #,##0.00_-;\-[$Rs.-849]* #,##0.00_-;_-[$Rs.-849]* &quot;-&quot;??_-;_-@_-"/>
    </dxf>
    <dxf>
      <numFmt numFmtId="170" formatCode="_-[$Rs.-849]* #,##0.00_-;\-[$Rs.-849]* #,##0.00_-;_-[$Rs.-849]* &quot;-&quot;??_-;_-@_-"/>
    </dxf>
    <dxf>
      <numFmt numFmtId="170" formatCode="_-[$Rs.-849]* #,##0.00_-;\-[$Rs.-849]* #,##0.00_-;_-[$Rs.-849]* &quot;-&quot;??_-;_-@_-"/>
    </dxf>
    <dxf>
      <numFmt numFmtId="170" formatCode="_-[$Rs.-849]* #,##0.00_-;\-[$Rs.-849]* #,##0.00_-;_-[$Rs.-849]* &quot;-&quot;??_-;_-@_-"/>
    </dxf>
    <dxf>
      <numFmt numFmtId="170" formatCode="_-[$Rs.-849]* #,##0.00_-;\-[$Rs.-849]* #,##0.00_-;_-[$Rs.-849]* &quot;-&quot;??_-;_-@_-"/>
    </dxf>
    <dxf>
      <numFmt numFmtId="170" formatCode="_-[$Rs.-849]* #,##0.00_-;\-[$Rs.-849]* #,##0.00_-;_-[$Rs.-849]* &quot;-&quot;??_-;_-@_-"/>
    </dxf>
    <dxf>
      <numFmt numFmtId="170" formatCode="_-[$Rs.-849]* #,##0.00_-;\-[$Rs.-849]* #,##0.00_-;_-[$Rs.-849]* &quot;-&quot;??_-;_-@_-"/>
    </dxf>
    <dxf>
      <numFmt numFmtId="170" formatCode="_-[$Rs.-849]* #,##0.00_-;\-[$Rs.-849]* #,##0.00_-;_-[$Rs.-849]* &quot;-&quot;??_-;_-@_-"/>
    </dxf>
    <dxf>
      <numFmt numFmtId="170" formatCode="_-[$Rs.-849]* #,##0.00_-;\-[$Rs.-849]* #,##0.00_-;_-[$Rs.-849]* &quot;-&quot;??_-;_-@_-"/>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latin typeface="Arial" panose="020B0604020202020204" pitchFamily="34" charset="0"/>
                <a:cs typeface="Arial" panose="020B0604020202020204" pitchFamily="34" charset="0"/>
              </a:rPr>
              <a:t>Sales by Region</a:t>
            </a:r>
            <a:endParaRPr lang="en-GB" b="1">
              <a:latin typeface="Arial" panose="020B0604020202020204" pitchFamily="34" charset="0"/>
              <a:cs typeface="Arial" panose="020B060402020202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Table'!$A$4:$A$12</c:f>
              <c:strCache>
                <c:ptCount val="8"/>
                <c:pt idx="0">
                  <c:v>Badulla</c:v>
                </c:pt>
                <c:pt idx="1">
                  <c:v>Colombo</c:v>
                </c:pt>
                <c:pt idx="2">
                  <c:v>Galle</c:v>
                </c:pt>
                <c:pt idx="3">
                  <c:v>Jaffna</c:v>
                </c:pt>
                <c:pt idx="4">
                  <c:v>Kandy</c:v>
                </c:pt>
                <c:pt idx="5">
                  <c:v>Kurunegala</c:v>
                </c:pt>
                <c:pt idx="6">
                  <c:v>Matara</c:v>
                </c:pt>
                <c:pt idx="7">
                  <c:v>Negombo</c:v>
                </c:pt>
              </c:strCache>
            </c:strRef>
          </c:cat>
          <c:val>
            <c:numRef>
              <c:f>'Pivot Table'!$B$4:$B$12</c:f>
              <c:numCache>
                <c:formatCode>_-[$Rs.-849]* #,##0.00_-;\-[$Rs.-849]* #,##0.00_-;_-[$Rs.-849]* "-"??_-;_-@_-</c:formatCode>
                <c:ptCount val="8"/>
                <c:pt idx="0">
                  <c:v>18509000</c:v>
                </c:pt>
                <c:pt idx="1">
                  <c:v>19489500</c:v>
                </c:pt>
                <c:pt idx="2">
                  <c:v>12867500</c:v>
                </c:pt>
                <c:pt idx="3">
                  <c:v>15719000</c:v>
                </c:pt>
                <c:pt idx="4">
                  <c:v>14296500</c:v>
                </c:pt>
                <c:pt idx="5">
                  <c:v>14848500</c:v>
                </c:pt>
                <c:pt idx="6">
                  <c:v>13574500</c:v>
                </c:pt>
                <c:pt idx="7">
                  <c:v>16583000</c:v>
                </c:pt>
              </c:numCache>
            </c:numRef>
          </c:val>
          <c:extLst>
            <c:ext xmlns:c16="http://schemas.microsoft.com/office/drawing/2014/chart" uri="{C3380CC4-5D6E-409C-BE32-E72D297353CC}">
              <c16:uniqueId val="{0000000A-10FA-46BB-A417-EE3BF3F9CC18}"/>
            </c:ext>
          </c:extLst>
        </c:ser>
        <c:dLbls>
          <c:showLegendKey val="0"/>
          <c:showVal val="0"/>
          <c:showCatName val="0"/>
          <c:showSerName val="0"/>
          <c:showPercent val="0"/>
          <c:showBubbleSize val="0"/>
        </c:dLbls>
        <c:gapWidth val="219"/>
        <c:overlap val="-27"/>
        <c:axId val="157920607"/>
        <c:axId val="157918207"/>
      </c:barChart>
      <c:catAx>
        <c:axId val="15792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18207"/>
        <c:crosses val="autoZero"/>
        <c:auto val="1"/>
        <c:lblAlgn val="ctr"/>
        <c:lblOffset val="100"/>
        <c:noMultiLvlLbl val="0"/>
      </c:catAx>
      <c:valAx>
        <c:axId val="157918207"/>
        <c:scaling>
          <c:orientation val="minMax"/>
        </c:scaling>
        <c:delete val="0"/>
        <c:axPos val="l"/>
        <c:majorGridlines>
          <c:spPr>
            <a:ln w="9525" cap="flat" cmpd="sng" algn="ctr">
              <a:solidFill>
                <a:schemeClr val="tx1">
                  <a:lumMod val="15000"/>
                  <a:lumOff val="85000"/>
                </a:schemeClr>
              </a:solidFill>
              <a:round/>
            </a:ln>
            <a:effectLst/>
          </c:spPr>
        </c:majorGridlines>
        <c:numFmt formatCode="_-[$Rs.-849]* #,##0.00_-;\-[$Rs.-849]* #,##0.00_-;_-[$Rs.-84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2060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plotArea>
    <c:plotVisOnly val="1"/>
    <c:dispBlanksAs val="gap"/>
    <c:showDLblsOverMax val="0"/>
    <c:extLst/>
  </c:chart>
  <c:spPr>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latin typeface="Arial" panose="020B0604020202020204" pitchFamily="34" charset="0"/>
                <a:cs typeface="Arial" panose="020B0604020202020204" pitchFamily="34" charset="0"/>
              </a:rPr>
              <a:t>Top Products</a:t>
            </a:r>
            <a:endParaRPr lang="en-GB" b="1">
              <a:latin typeface="Arial" panose="020B0604020202020204" pitchFamily="34" charset="0"/>
              <a:cs typeface="Arial" panose="020B060402020202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Table'!$A$19:$A$29</c:f>
              <c:strCache>
                <c:ptCount val="10"/>
                <c:pt idx="0">
                  <c:v>Laptop</c:v>
                </c:pt>
                <c:pt idx="1">
                  <c:v>Mobile</c:v>
                </c:pt>
                <c:pt idx="2">
                  <c:v>Monitor</c:v>
                </c:pt>
                <c:pt idx="3">
                  <c:v>Printer</c:v>
                </c:pt>
                <c:pt idx="4">
                  <c:v>SSD</c:v>
                </c:pt>
                <c:pt idx="5">
                  <c:v>Webcam</c:v>
                </c:pt>
                <c:pt idx="6">
                  <c:v>Headphones</c:v>
                </c:pt>
                <c:pt idx="7">
                  <c:v>Keyboard</c:v>
                </c:pt>
                <c:pt idx="8">
                  <c:v>Mouse</c:v>
                </c:pt>
                <c:pt idx="9">
                  <c:v>USB</c:v>
                </c:pt>
              </c:strCache>
            </c:strRef>
          </c:cat>
          <c:val>
            <c:numRef>
              <c:f>'Pivot Table'!$B$19:$B$29</c:f>
              <c:numCache>
                <c:formatCode>_-[$Rs.-849]* #,##0.00_-;\-[$Rs.-849]* #,##0.00_-;_-[$Rs.-849]* "-"??_-;_-@_-</c:formatCode>
                <c:ptCount val="10"/>
                <c:pt idx="0">
                  <c:v>51600000</c:v>
                </c:pt>
                <c:pt idx="1">
                  <c:v>28720000</c:v>
                </c:pt>
                <c:pt idx="2">
                  <c:v>16860000</c:v>
                </c:pt>
                <c:pt idx="3">
                  <c:v>16110000</c:v>
                </c:pt>
                <c:pt idx="4">
                  <c:v>5364000</c:v>
                </c:pt>
                <c:pt idx="5">
                  <c:v>2584000</c:v>
                </c:pt>
                <c:pt idx="6">
                  <c:v>2114000</c:v>
                </c:pt>
                <c:pt idx="7">
                  <c:v>1270000</c:v>
                </c:pt>
                <c:pt idx="8">
                  <c:v>667500</c:v>
                </c:pt>
                <c:pt idx="9">
                  <c:v>598000</c:v>
                </c:pt>
              </c:numCache>
            </c:numRef>
          </c:val>
          <c:extLst>
            <c:ext xmlns:c16="http://schemas.microsoft.com/office/drawing/2014/chart" uri="{C3380CC4-5D6E-409C-BE32-E72D297353CC}">
              <c16:uniqueId val="{00000008-2219-451A-883E-498E3C0635AF}"/>
            </c:ext>
          </c:extLst>
        </c:ser>
        <c:dLbls>
          <c:showLegendKey val="0"/>
          <c:showVal val="0"/>
          <c:showCatName val="0"/>
          <c:showSerName val="0"/>
          <c:showPercent val="0"/>
          <c:showBubbleSize val="0"/>
        </c:dLbls>
        <c:gapWidth val="182"/>
        <c:axId val="162449791"/>
        <c:axId val="162450271"/>
      </c:barChart>
      <c:catAx>
        <c:axId val="162449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50271"/>
        <c:crosses val="autoZero"/>
        <c:auto val="1"/>
        <c:lblAlgn val="ctr"/>
        <c:lblOffset val="100"/>
        <c:noMultiLvlLbl val="0"/>
      </c:catAx>
      <c:valAx>
        <c:axId val="162450271"/>
        <c:scaling>
          <c:orientation val="minMax"/>
        </c:scaling>
        <c:delete val="0"/>
        <c:axPos val="b"/>
        <c:majorGridlines>
          <c:spPr>
            <a:ln w="9525" cap="flat" cmpd="sng" algn="ctr">
              <a:solidFill>
                <a:schemeClr val="tx1">
                  <a:lumMod val="15000"/>
                  <a:lumOff val="85000"/>
                </a:schemeClr>
              </a:solidFill>
              <a:round/>
            </a:ln>
            <a:effectLst/>
          </c:spPr>
        </c:majorGridlines>
        <c:numFmt formatCode="_-[$Rs.-849]* #,##0.00_-;\-[$Rs.-849]* #,##0.00_-;_-[$Rs.-84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4979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plotArea>
    <c:plotVisOnly val="1"/>
    <c:dispBlanksAs val="gap"/>
    <c:showDLblsOverMax val="0"/>
    <c:extLst/>
  </c:chart>
  <c:spPr>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Monthly Sales Trend</a:t>
            </a:r>
            <a:endParaRPr lang="en-GB" b="1"/>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chemeClr val="accent1"/>
              </a:solidFill>
              <a:round/>
            </a:ln>
            <a:effectLst/>
          </c:spPr>
          <c:marker>
            <c:symbol val="none"/>
          </c:marker>
          <c:cat>
            <c:strRef>
              <c:f>'Pivot Table'!$A$33:$A$45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Table'!$B$33:$B$45</c:f>
              <c:numCache>
                <c:formatCode>_-[$Rs.-849]* #,##0.00_-;\-[$Rs.-849]* #,##0.00_-;_-[$Rs.-849]* "-"??_-;_-@_-</c:formatCode>
                <c:ptCount val="12"/>
                <c:pt idx="0">
                  <c:v>8555500</c:v>
                </c:pt>
                <c:pt idx="1">
                  <c:v>9661500</c:v>
                </c:pt>
                <c:pt idx="2">
                  <c:v>15163500</c:v>
                </c:pt>
                <c:pt idx="3">
                  <c:v>11291000</c:v>
                </c:pt>
                <c:pt idx="4">
                  <c:v>8353000</c:v>
                </c:pt>
                <c:pt idx="5">
                  <c:v>12127500</c:v>
                </c:pt>
                <c:pt idx="6">
                  <c:v>12340000</c:v>
                </c:pt>
                <c:pt idx="7">
                  <c:v>6969500</c:v>
                </c:pt>
                <c:pt idx="8">
                  <c:v>8537000</c:v>
                </c:pt>
                <c:pt idx="9">
                  <c:v>11161500</c:v>
                </c:pt>
                <c:pt idx="10">
                  <c:v>11384000</c:v>
                </c:pt>
                <c:pt idx="11">
                  <c:v>10343500</c:v>
                </c:pt>
              </c:numCache>
            </c:numRef>
          </c:val>
          <c:smooth val="0"/>
          <c:extLst>
            <c:ext xmlns:c16="http://schemas.microsoft.com/office/drawing/2014/chart" uri="{C3380CC4-5D6E-409C-BE32-E72D297353CC}">
              <c16:uniqueId val="{00000004-8583-45E1-B82B-920142FB0762}"/>
            </c:ext>
          </c:extLst>
        </c:ser>
        <c:dLbls>
          <c:showLegendKey val="0"/>
          <c:showVal val="0"/>
          <c:showCatName val="0"/>
          <c:showSerName val="0"/>
          <c:showPercent val="0"/>
          <c:showBubbleSize val="0"/>
        </c:dLbls>
        <c:smooth val="0"/>
        <c:axId val="76616559"/>
        <c:axId val="76617039"/>
      </c:lineChart>
      <c:catAx>
        <c:axId val="766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17039"/>
        <c:crosses val="autoZero"/>
        <c:auto val="1"/>
        <c:lblAlgn val="ctr"/>
        <c:lblOffset val="100"/>
        <c:noMultiLvlLbl val="0"/>
      </c:catAx>
      <c:valAx>
        <c:axId val="76617039"/>
        <c:scaling>
          <c:orientation val="minMax"/>
        </c:scaling>
        <c:delete val="0"/>
        <c:axPos val="l"/>
        <c:majorGridlines>
          <c:spPr>
            <a:ln w="9525" cap="flat" cmpd="sng" algn="ctr">
              <a:solidFill>
                <a:schemeClr val="tx1">
                  <a:lumMod val="15000"/>
                  <a:lumOff val="85000"/>
                </a:schemeClr>
              </a:solidFill>
              <a:round/>
            </a:ln>
            <a:effectLst/>
          </c:spPr>
        </c:majorGridlines>
        <c:numFmt formatCode="_-[$Rs.-849]* #,##0.00_-;\-[$Rs.-849]* #,##0.00_-;_-[$Rs.-84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1655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plotArea>
    <c:plotVisOnly val="1"/>
    <c:dispBlanksAs val="gap"/>
    <c:showDLblsOverMax val="0"/>
    <c:extLst/>
  </c:chart>
  <c:spPr>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latin typeface="Arial" panose="020B0604020202020204" pitchFamily="34" charset="0"/>
                <a:cs typeface="Arial" panose="020B0604020202020204" pitchFamily="34" charset="0"/>
              </a:rPr>
              <a:t>Sales Rep Performance</a:t>
            </a:r>
            <a:endParaRPr lang="en-GB" b="1">
              <a:latin typeface="Arial" panose="020B0604020202020204" pitchFamily="34" charset="0"/>
              <a:cs typeface="Arial" panose="020B060402020202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Table'!$B$48</c:f>
              <c:strCache>
                <c:ptCount val="1"/>
                <c:pt idx="0">
                  <c:v>Sales</c:v>
                </c:pt>
              </c:strCache>
            </c:strRef>
          </c:tx>
          <c:spPr>
            <a:solidFill>
              <a:schemeClr val="accent1"/>
            </a:solidFill>
            <a:ln>
              <a:noFill/>
            </a:ln>
            <a:effectLst/>
          </c:spPr>
          <c:invertIfNegative val="0"/>
          <c:cat>
            <c:strRef>
              <c:f>'Pivot Table'!$A$49:$A$59</c:f>
              <c:strCache>
                <c:ptCount val="10"/>
                <c:pt idx="0">
                  <c:v>Dilshan</c:v>
                </c:pt>
                <c:pt idx="1">
                  <c:v>Kavinda</c:v>
                </c:pt>
                <c:pt idx="2">
                  <c:v>Shehan</c:v>
                </c:pt>
                <c:pt idx="3">
                  <c:v>Nuwan</c:v>
                </c:pt>
                <c:pt idx="4">
                  <c:v>Sachin</c:v>
                </c:pt>
                <c:pt idx="5">
                  <c:v>Pasindu</c:v>
                </c:pt>
                <c:pt idx="6">
                  <c:v>Amila</c:v>
                </c:pt>
                <c:pt idx="7">
                  <c:v>Kasun</c:v>
                </c:pt>
                <c:pt idx="8">
                  <c:v>Tharindu</c:v>
                </c:pt>
                <c:pt idx="9">
                  <c:v>Nimesh</c:v>
                </c:pt>
              </c:strCache>
            </c:strRef>
          </c:cat>
          <c:val>
            <c:numRef>
              <c:f>'Pivot Table'!$B$49:$B$59</c:f>
              <c:numCache>
                <c:formatCode>_-[$Rs.-849]* #,##0.00_-;\-[$Rs.-849]* #,##0.00_-;_-[$Rs.-849]* "-"??_-;_-@_-</c:formatCode>
                <c:ptCount val="10"/>
                <c:pt idx="0">
                  <c:v>16171000</c:v>
                </c:pt>
                <c:pt idx="1">
                  <c:v>14685500</c:v>
                </c:pt>
                <c:pt idx="2">
                  <c:v>13968000</c:v>
                </c:pt>
                <c:pt idx="3">
                  <c:v>13939500</c:v>
                </c:pt>
                <c:pt idx="4">
                  <c:v>13823000</c:v>
                </c:pt>
                <c:pt idx="5">
                  <c:v>12613000</c:v>
                </c:pt>
                <c:pt idx="6">
                  <c:v>10972000</c:v>
                </c:pt>
                <c:pt idx="7">
                  <c:v>10356000</c:v>
                </c:pt>
                <c:pt idx="8">
                  <c:v>9849500</c:v>
                </c:pt>
                <c:pt idx="9">
                  <c:v>9510000</c:v>
                </c:pt>
              </c:numCache>
            </c:numRef>
          </c:val>
          <c:extLst>
            <c:ext xmlns:c16="http://schemas.microsoft.com/office/drawing/2014/chart" uri="{C3380CC4-5D6E-409C-BE32-E72D297353CC}">
              <c16:uniqueId val="{0000000B-C0ED-44C3-A06F-97226A8BB3E2}"/>
            </c:ext>
          </c:extLst>
        </c:ser>
        <c:ser>
          <c:idx val="1"/>
          <c:order val="1"/>
          <c:tx>
            <c:strRef>
              <c:f>'Pivot Table'!$C$48</c:f>
              <c:strCache>
                <c:ptCount val="1"/>
                <c:pt idx="0">
                  <c:v>Total Profit</c:v>
                </c:pt>
              </c:strCache>
            </c:strRef>
          </c:tx>
          <c:spPr>
            <a:solidFill>
              <a:schemeClr val="accent2"/>
            </a:solidFill>
            <a:ln>
              <a:noFill/>
            </a:ln>
            <a:effectLst/>
          </c:spPr>
          <c:invertIfNegative val="0"/>
          <c:cat>
            <c:strRef>
              <c:f>'Pivot Table'!$A$49:$A$59</c:f>
              <c:strCache>
                <c:ptCount val="10"/>
                <c:pt idx="0">
                  <c:v>Dilshan</c:v>
                </c:pt>
                <c:pt idx="1">
                  <c:v>Kavinda</c:v>
                </c:pt>
                <c:pt idx="2">
                  <c:v>Shehan</c:v>
                </c:pt>
                <c:pt idx="3">
                  <c:v>Nuwan</c:v>
                </c:pt>
                <c:pt idx="4">
                  <c:v>Sachin</c:v>
                </c:pt>
                <c:pt idx="5">
                  <c:v>Pasindu</c:v>
                </c:pt>
                <c:pt idx="6">
                  <c:v>Amila</c:v>
                </c:pt>
                <c:pt idx="7">
                  <c:v>Kasun</c:v>
                </c:pt>
                <c:pt idx="8">
                  <c:v>Tharindu</c:v>
                </c:pt>
                <c:pt idx="9">
                  <c:v>Nimesh</c:v>
                </c:pt>
              </c:strCache>
            </c:strRef>
          </c:cat>
          <c:val>
            <c:numRef>
              <c:f>'Pivot Table'!$C$49:$C$59</c:f>
              <c:numCache>
                <c:formatCode>_-[$Rs.-849]* #,##0.00_-;\-[$Rs.-849]* #,##0.00_-;_-[$Rs.-849]* "-"??_-;_-@_-</c:formatCode>
                <c:ptCount val="10"/>
                <c:pt idx="0">
                  <c:v>3255500</c:v>
                </c:pt>
                <c:pt idx="1">
                  <c:v>3009400</c:v>
                </c:pt>
                <c:pt idx="2">
                  <c:v>2844000</c:v>
                </c:pt>
                <c:pt idx="3">
                  <c:v>2887500</c:v>
                </c:pt>
                <c:pt idx="4">
                  <c:v>2915400</c:v>
                </c:pt>
                <c:pt idx="5">
                  <c:v>2603100</c:v>
                </c:pt>
                <c:pt idx="6">
                  <c:v>2311700</c:v>
                </c:pt>
                <c:pt idx="7">
                  <c:v>2160500</c:v>
                </c:pt>
                <c:pt idx="8">
                  <c:v>2097900</c:v>
                </c:pt>
                <c:pt idx="9">
                  <c:v>1969200</c:v>
                </c:pt>
              </c:numCache>
            </c:numRef>
          </c:val>
          <c:extLst>
            <c:ext xmlns:c16="http://schemas.microsoft.com/office/drawing/2014/chart" uri="{C3380CC4-5D6E-409C-BE32-E72D297353CC}">
              <c16:uniqueId val="{0000000D-C0ED-44C3-A06F-97226A8BB3E2}"/>
            </c:ext>
          </c:extLst>
        </c:ser>
        <c:dLbls>
          <c:showLegendKey val="0"/>
          <c:showVal val="0"/>
          <c:showCatName val="0"/>
          <c:showSerName val="0"/>
          <c:showPercent val="0"/>
          <c:showBubbleSize val="0"/>
        </c:dLbls>
        <c:gapWidth val="219"/>
        <c:overlap val="-27"/>
        <c:axId val="167271695"/>
        <c:axId val="384341055"/>
      </c:barChart>
      <c:catAx>
        <c:axId val="16727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341055"/>
        <c:crosses val="autoZero"/>
        <c:auto val="1"/>
        <c:lblAlgn val="ctr"/>
        <c:lblOffset val="100"/>
        <c:noMultiLvlLbl val="0"/>
      </c:catAx>
      <c:valAx>
        <c:axId val="384341055"/>
        <c:scaling>
          <c:orientation val="minMax"/>
        </c:scaling>
        <c:delete val="0"/>
        <c:axPos val="l"/>
        <c:majorGridlines>
          <c:spPr>
            <a:ln w="9525" cap="flat" cmpd="sng" algn="ctr">
              <a:solidFill>
                <a:schemeClr val="tx1">
                  <a:lumMod val="15000"/>
                  <a:lumOff val="85000"/>
                </a:schemeClr>
              </a:solidFill>
              <a:round/>
            </a:ln>
            <a:effectLst/>
          </c:spPr>
        </c:majorGridlines>
        <c:numFmt formatCode="_-[$Rs.-849]* #,##0.00_-;\-[$Rs.-849]* #,##0.00_-;_-[$Rs.-84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169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latin typeface="Arial" panose="020B0604020202020204" pitchFamily="34" charset="0"/>
                <a:cs typeface="Arial" panose="020B0604020202020204" pitchFamily="34" charset="0"/>
              </a:rPr>
              <a:t>Sales by Region</a:t>
            </a:r>
            <a:endParaRPr lang="en-US"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Table'!$A$4:$A$12</c:f>
              <c:strCache>
                <c:ptCount val="8"/>
                <c:pt idx="0">
                  <c:v>Badulla</c:v>
                </c:pt>
                <c:pt idx="1">
                  <c:v>Colombo</c:v>
                </c:pt>
                <c:pt idx="2">
                  <c:v>Galle</c:v>
                </c:pt>
                <c:pt idx="3">
                  <c:v>Jaffna</c:v>
                </c:pt>
                <c:pt idx="4">
                  <c:v>Kandy</c:v>
                </c:pt>
                <c:pt idx="5">
                  <c:v>Kurunegala</c:v>
                </c:pt>
                <c:pt idx="6">
                  <c:v>Matara</c:v>
                </c:pt>
                <c:pt idx="7">
                  <c:v>Negombo</c:v>
                </c:pt>
              </c:strCache>
            </c:strRef>
          </c:cat>
          <c:val>
            <c:numRef>
              <c:f>'Pivot Table'!$B$4:$B$12</c:f>
              <c:numCache>
                <c:formatCode>_-[$Rs.-849]* #,##0.00_-;\-[$Rs.-849]* #,##0.00_-;_-[$Rs.-849]* "-"??_-;_-@_-</c:formatCode>
                <c:ptCount val="8"/>
                <c:pt idx="0">
                  <c:v>18509000</c:v>
                </c:pt>
                <c:pt idx="1">
                  <c:v>19489500</c:v>
                </c:pt>
                <c:pt idx="2">
                  <c:v>12867500</c:v>
                </c:pt>
                <c:pt idx="3">
                  <c:v>15719000</c:v>
                </c:pt>
                <c:pt idx="4">
                  <c:v>14296500</c:v>
                </c:pt>
                <c:pt idx="5">
                  <c:v>14848500</c:v>
                </c:pt>
                <c:pt idx="6">
                  <c:v>13574500</c:v>
                </c:pt>
                <c:pt idx="7">
                  <c:v>16583000</c:v>
                </c:pt>
              </c:numCache>
            </c:numRef>
          </c:val>
          <c:extLst>
            <c:ext xmlns:c16="http://schemas.microsoft.com/office/drawing/2014/chart" uri="{C3380CC4-5D6E-409C-BE32-E72D297353CC}">
              <c16:uniqueId val="{00000000-3F84-4498-B306-83D7D49AFC42}"/>
            </c:ext>
          </c:extLst>
        </c:ser>
        <c:dLbls>
          <c:showLegendKey val="0"/>
          <c:showVal val="0"/>
          <c:showCatName val="0"/>
          <c:showSerName val="0"/>
          <c:showPercent val="0"/>
          <c:showBubbleSize val="0"/>
        </c:dLbls>
        <c:gapWidth val="219"/>
        <c:overlap val="-27"/>
        <c:axId val="157920607"/>
        <c:axId val="157918207"/>
      </c:barChart>
      <c:catAx>
        <c:axId val="15792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18207"/>
        <c:crosses val="autoZero"/>
        <c:auto val="1"/>
        <c:lblAlgn val="ctr"/>
        <c:lblOffset val="100"/>
        <c:noMultiLvlLbl val="0"/>
      </c:catAx>
      <c:valAx>
        <c:axId val="157918207"/>
        <c:scaling>
          <c:orientation val="minMax"/>
        </c:scaling>
        <c:delete val="0"/>
        <c:axPos val="l"/>
        <c:majorGridlines>
          <c:spPr>
            <a:ln w="9525" cap="flat" cmpd="sng" algn="ctr">
              <a:solidFill>
                <a:schemeClr val="tx1">
                  <a:lumMod val="15000"/>
                  <a:lumOff val="85000"/>
                </a:schemeClr>
              </a:solidFill>
              <a:round/>
            </a:ln>
            <a:effectLst/>
          </c:spPr>
        </c:majorGridlines>
        <c:numFmt formatCode="_-[$Rs.-849]* #,##0.00_-;\-[$Rs.-849]* #,##0.00_-;_-[$Rs.-84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2060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latin typeface="Arial" panose="020B0604020202020204" pitchFamily="34" charset="0"/>
                <a:cs typeface="Arial" panose="020B0604020202020204" pitchFamily="34" charset="0"/>
              </a:rPr>
              <a:t>Top Products</a:t>
            </a:r>
            <a:endParaRPr lang="en-US"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Table'!$A$19:$A$29</c:f>
              <c:strCache>
                <c:ptCount val="10"/>
                <c:pt idx="0">
                  <c:v>Laptop</c:v>
                </c:pt>
                <c:pt idx="1">
                  <c:v>Mobile</c:v>
                </c:pt>
                <c:pt idx="2">
                  <c:v>Monitor</c:v>
                </c:pt>
                <c:pt idx="3">
                  <c:v>Printer</c:v>
                </c:pt>
                <c:pt idx="4">
                  <c:v>SSD</c:v>
                </c:pt>
                <c:pt idx="5">
                  <c:v>Webcam</c:v>
                </c:pt>
                <c:pt idx="6">
                  <c:v>Headphones</c:v>
                </c:pt>
                <c:pt idx="7">
                  <c:v>Keyboard</c:v>
                </c:pt>
                <c:pt idx="8">
                  <c:v>Mouse</c:v>
                </c:pt>
                <c:pt idx="9">
                  <c:v>USB</c:v>
                </c:pt>
              </c:strCache>
            </c:strRef>
          </c:cat>
          <c:val>
            <c:numRef>
              <c:f>'Pivot Table'!$B$19:$B$29</c:f>
              <c:numCache>
                <c:formatCode>_-[$Rs.-849]* #,##0.00_-;\-[$Rs.-849]* #,##0.00_-;_-[$Rs.-849]* "-"??_-;_-@_-</c:formatCode>
                <c:ptCount val="10"/>
                <c:pt idx="0">
                  <c:v>51600000</c:v>
                </c:pt>
                <c:pt idx="1">
                  <c:v>28720000</c:v>
                </c:pt>
                <c:pt idx="2">
                  <c:v>16860000</c:v>
                </c:pt>
                <c:pt idx="3">
                  <c:v>16110000</c:v>
                </c:pt>
                <c:pt idx="4">
                  <c:v>5364000</c:v>
                </c:pt>
                <c:pt idx="5">
                  <c:v>2584000</c:v>
                </c:pt>
                <c:pt idx="6">
                  <c:v>2114000</c:v>
                </c:pt>
                <c:pt idx="7">
                  <c:v>1270000</c:v>
                </c:pt>
                <c:pt idx="8">
                  <c:v>667500</c:v>
                </c:pt>
                <c:pt idx="9">
                  <c:v>598000</c:v>
                </c:pt>
              </c:numCache>
            </c:numRef>
          </c:val>
          <c:extLst>
            <c:ext xmlns:c16="http://schemas.microsoft.com/office/drawing/2014/chart" uri="{C3380CC4-5D6E-409C-BE32-E72D297353CC}">
              <c16:uniqueId val="{00000000-B3DC-42AB-A05D-0F027DFCC322}"/>
            </c:ext>
          </c:extLst>
        </c:ser>
        <c:dLbls>
          <c:showLegendKey val="0"/>
          <c:showVal val="0"/>
          <c:showCatName val="0"/>
          <c:showSerName val="0"/>
          <c:showPercent val="0"/>
          <c:showBubbleSize val="0"/>
        </c:dLbls>
        <c:gapWidth val="182"/>
        <c:axId val="162449791"/>
        <c:axId val="162450271"/>
      </c:barChart>
      <c:catAx>
        <c:axId val="162449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50271"/>
        <c:crosses val="autoZero"/>
        <c:auto val="1"/>
        <c:lblAlgn val="ctr"/>
        <c:lblOffset val="100"/>
        <c:noMultiLvlLbl val="0"/>
      </c:catAx>
      <c:valAx>
        <c:axId val="162450271"/>
        <c:scaling>
          <c:orientation val="minMax"/>
        </c:scaling>
        <c:delete val="0"/>
        <c:axPos val="b"/>
        <c:majorGridlines>
          <c:spPr>
            <a:ln w="9525" cap="flat" cmpd="sng" algn="ctr">
              <a:solidFill>
                <a:schemeClr val="tx1">
                  <a:lumMod val="15000"/>
                  <a:lumOff val="85000"/>
                </a:schemeClr>
              </a:solidFill>
              <a:round/>
            </a:ln>
            <a:effectLst/>
          </c:spPr>
        </c:majorGridlines>
        <c:numFmt formatCode="_-[$Rs.-849]* #,##0.00_-;\-[$Rs.-849]* #,##0.00_-;_-[$Rs.-84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4979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Monthly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chemeClr val="accent1"/>
              </a:solidFill>
              <a:round/>
            </a:ln>
            <a:effectLst/>
          </c:spPr>
          <c:marker>
            <c:symbol val="none"/>
          </c:marker>
          <c:cat>
            <c:strRef>
              <c:f>'Pivot Table'!$A$33:$A$45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Table'!$B$33:$B$45</c:f>
              <c:numCache>
                <c:formatCode>_-[$Rs.-849]* #,##0.00_-;\-[$Rs.-849]* #,##0.00_-;_-[$Rs.-849]* "-"??_-;_-@_-</c:formatCode>
                <c:ptCount val="12"/>
                <c:pt idx="0">
                  <c:v>8555500</c:v>
                </c:pt>
                <c:pt idx="1">
                  <c:v>9661500</c:v>
                </c:pt>
                <c:pt idx="2">
                  <c:v>15163500</c:v>
                </c:pt>
                <c:pt idx="3">
                  <c:v>11291000</c:v>
                </c:pt>
                <c:pt idx="4">
                  <c:v>8353000</c:v>
                </c:pt>
                <c:pt idx="5">
                  <c:v>12127500</c:v>
                </c:pt>
                <c:pt idx="6">
                  <c:v>12340000</c:v>
                </c:pt>
                <c:pt idx="7">
                  <c:v>6969500</c:v>
                </c:pt>
                <c:pt idx="8">
                  <c:v>8537000</c:v>
                </c:pt>
                <c:pt idx="9">
                  <c:v>11161500</c:v>
                </c:pt>
                <c:pt idx="10">
                  <c:v>11384000</c:v>
                </c:pt>
                <c:pt idx="11">
                  <c:v>10343500</c:v>
                </c:pt>
              </c:numCache>
            </c:numRef>
          </c:val>
          <c:smooth val="0"/>
          <c:extLst>
            <c:ext xmlns:c16="http://schemas.microsoft.com/office/drawing/2014/chart" uri="{C3380CC4-5D6E-409C-BE32-E72D297353CC}">
              <c16:uniqueId val="{00000000-6022-4226-B572-F152D824348B}"/>
            </c:ext>
          </c:extLst>
        </c:ser>
        <c:dLbls>
          <c:showLegendKey val="0"/>
          <c:showVal val="0"/>
          <c:showCatName val="0"/>
          <c:showSerName val="0"/>
          <c:showPercent val="0"/>
          <c:showBubbleSize val="0"/>
        </c:dLbls>
        <c:smooth val="0"/>
        <c:axId val="76616559"/>
        <c:axId val="76617039"/>
      </c:lineChart>
      <c:catAx>
        <c:axId val="766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17039"/>
        <c:crosses val="autoZero"/>
        <c:auto val="1"/>
        <c:lblAlgn val="ctr"/>
        <c:lblOffset val="100"/>
        <c:noMultiLvlLbl val="0"/>
      </c:catAx>
      <c:valAx>
        <c:axId val="76617039"/>
        <c:scaling>
          <c:orientation val="minMax"/>
        </c:scaling>
        <c:delete val="0"/>
        <c:axPos val="l"/>
        <c:majorGridlines>
          <c:spPr>
            <a:ln w="9525" cap="flat" cmpd="sng" algn="ctr">
              <a:solidFill>
                <a:schemeClr val="tx1">
                  <a:lumMod val="15000"/>
                  <a:lumOff val="85000"/>
                </a:schemeClr>
              </a:solidFill>
              <a:round/>
            </a:ln>
            <a:effectLst/>
          </c:spPr>
        </c:majorGridlines>
        <c:numFmt formatCode="_-[$Rs.-849]* #,##0.00_-;\-[$Rs.-849]* #,##0.00_-;_-[$Rs.-84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1655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latin typeface="Arial" panose="020B0604020202020204" pitchFamily="34" charset="0"/>
                <a:cs typeface="Arial" panose="020B0604020202020204" pitchFamily="34" charset="0"/>
              </a:rPr>
              <a:t>Sales Rep Performance</a:t>
            </a:r>
            <a:endParaRPr lang="en-GB"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c:f>
              <c:strCache>
                <c:ptCount val="1"/>
                <c:pt idx="0">
                  <c:v>Sales</c:v>
                </c:pt>
              </c:strCache>
            </c:strRef>
          </c:tx>
          <c:spPr>
            <a:solidFill>
              <a:schemeClr val="accent1"/>
            </a:solidFill>
            <a:ln>
              <a:noFill/>
            </a:ln>
            <a:effectLst/>
          </c:spPr>
          <c:invertIfNegative val="0"/>
          <c:cat>
            <c:strRef>
              <c:f>'Pivot Table'!$A$49:$A$59</c:f>
              <c:strCache>
                <c:ptCount val="10"/>
                <c:pt idx="0">
                  <c:v>Dilshan</c:v>
                </c:pt>
                <c:pt idx="1">
                  <c:v>Kavinda</c:v>
                </c:pt>
                <c:pt idx="2">
                  <c:v>Shehan</c:v>
                </c:pt>
                <c:pt idx="3">
                  <c:v>Nuwan</c:v>
                </c:pt>
                <c:pt idx="4">
                  <c:v>Sachin</c:v>
                </c:pt>
                <c:pt idx="5">
                  <c:v>Pasindu</c:v>
                </c:pt>
                <c:pt idx="6">
                  <c:v>Amila</c:v>
                </c:pt>
                <c:pt idx="7">
                  <c:v>Kasun</c:v>
                </c:pt>
                <c:pt idx="8">
                  <c:v>Tharindu</c:v>
                </c:pt>
                <c:pt idx="9">
                  <c:v>Nimesh</c:v>
                </c:pt>
              </c:strCache>
            </c:strRef>
          </c:cat>
          <c:val>
            <c:numRef>
              <c:f>'Pivot Table'!$B$49:$B$59</c:f>
              <c:numCache>
                <c:formatCode>_-[$Rs.-849]* #,##0.00_-;\-[$Rs.-849]* #,##0.00_-;_-[$Rs.-849]* "-"??_-;_-@_-</c:formatCode>
                <c:ptCount val="10"/>
                <c:pt idx="0">
                  <c:v>16171000</c:v>
                </c:pt>
                <c:pt idx="1">
                  <c:v>14685500</c:v>
                </c:pt>
                <c:pt idx="2">
                  <c:v>13968000</c:v>
                </c:pt>
                <c:pt idx="3">
                  <c:v>13939500</c:v>
                </c:pt>
                <c:pt idx="4">
                  <c:v>13823000</c:v>
                </c:pt>
                <c:pt idx="5">
                  <c:v>12613000</c:v>
                </c:pt>
                <c:pt idx="6">
                  <c:v>10972000</c:v>
                </c:pt>
                <c:pt idx="7">
                  <c:v>10356000</c:v>
                </c:pt>
                <c:pt idx="8">
                  <c:v>9849500</c:v>
                </c:pt>
                <c:pt idx="9">
                  <c:v>9510000</c:v>
                </c:pt>
              </c:numCache>
            </c:numRef>
          </c:val>
          <c:extLst>
            <c:ext xmlns:c16="http://schemas.microsoft.com/office/drawing/2014/chart" uri="{C3380CC4-5D6E-409C-BE32-E72D297353CC}">
              <c16:uniqueId val="{00000000-0363-43F2-882D-951CA8AC3347}"/>
            </c:ext>
          </c:extLst>
        </c:ser>
        <c:ser>
          <c:idx val="1"/>
          <c:order val="1"/>
          <c:tx>
            <c:strRef>
              <c:f>'Pivot Table'!$C$48</c:f>
              <c:strCache>
                <c:ptCount val="1"/>
                <c:pt idx="0">
                  <c:v>Total Profit</c:v>
                </c:pt>
              </c:strCache>
            </c:strRef>
          </c:tx>
          <c:spPr>
            <a:solidFill>
              <a:schemeClr val="accent2"/>
            </a:solidFill>
            <a:ln>
              <a:noFill/>
            </a:ln>
            <a:effectLst/>
          </c:spPr>
          <c:invertIfNegative val="0"/>
          <c:cat>
            <c:strRef>
              <c:f>'Pivot Table'!$A$49:$A$59</c:f>
              <c:strCache>
                <c:ptCount val="10"/>
                <c:pt idx="0">
                  <c:v>Dilshan</c:v>
                </c:pt>
                <c:pt idx="1">
                  <c:v>Kavinda</c:v>
                </c:pt>
                <c:pt idx="2">
                  <c:v>Shehan</c:v>
                </c:pt>
                <c:pt idx="3">
                  <c:v>Nuwan</c:v>
                </c:pt>
                <c:pt idx="4">
                  <c:v>Sachin</c:v>
                </c:pt>
                <c:pt idx="5">
                  <c:v>Pasindu</c:v>
                </c:pt>
                <c:pt idx="6">
                  <c:v>Amila</c:v>
                </c:pt>
                <c:pt idx="7">
                  <c:v>Kasun</c:v>
                </c:pt>
                <c:pt idx="8">
                  <c:v>Tharindu</c:v>
                </c:pt>
                <c:pt idx="9">
                  <c:v>Nimesh</c:v>
                </c:pt>
              </c:strCache>
            </c:strRef>
          </c:cat>
          <c:val>
            <c:numRef>
              <c:f>'Pivot Table'!$C$49:$C$59</c:f>
              <c:numCache>
                <c:formatCode>_-[$Rs.-849]* #,##0.00_-;\-[$Rs.-849]* #,##0.00_-;_-[$Rs.-849]* "-"??_-;_-@_-</c:formatCode>
                <c:ptCount val="10"/>
                <c:pt idx="0">
                  <c:v>3255500</c:v>
                </c:pt>
                <c:pt idx="1">
                  <c:v>3009400</c:v>
                </c:pt>
                <c:pt idx="2">
                  <c:v>2844000</c:v>
                </c:pt>
                <c:pt idx="3">
                  <c:v>2887500</c:v>
                </c:pt>
                <c:pt idx="4">
                  <c:v>2915400</c:v>
                </c:pt>
                <c:pt idx="5">
                  <c:v>2603100</c:v>
                </c:pt>
                <c:pt idx="6">
                  <c:v>2311700</c:v>
                </c:pt>
                <c:pt idx="7">
                  <c:v>2160500</c:v>
                </c:pt>
                <c:pt idx="8">
                  <c:v>2097900</c:v>
                </c:pt>
                <c:pt idx="9">
                  <c:v>1969200</c:v>
                </c:pt>
              </c:numCache>
            </c:numRef>
          </c:val>
          <c:extLst>
            <c:ext xmlns:c16="http://schemas.microsoft.com/office/drawing/2014/chart" uri="{C3380CC4-5D6E-409C-BE32-E72D297353CC}">
              <c16:uniqueId val="{00000001-0363-43F2-882D-951CA8AC3347}"/>
            </c:ext>
          </c:extLst>
        </c:ser>
        <c:dLbls>
          <c:showLegendKey val="0"/>
          <c:showVal val="0"/>
          <c:showCatName val="0"/>
          <c:showSerName val="0"/>
          <c:showPercent val="0"/>
          <c:showBubbleSize val="0"/>
        </c:dLbls>
        <c:gapWidth val="219"/>
        <c:overlap val="-27"/>
        <c:axId val="167271695"/>
        <c:axId val="384341055"/>
      </c:barChart>
      <c:catAx>
        <c:axId val="16727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341055"/>
        <c:crosses val="autoZero"/>
        <c:auto val="1"/>
        <c:lblAlgn val="ctr"/>
        <c:lblOffset val="100"/>
        <c:noMultiLvlLbl val="0"/>
      </c:catAx>
      <c:valAx>
        <c:axId val="384341055"/>
        <c:scaling>
          <c:orientation val="minMax"/>
        </c:scaling>
        <c:delete val="0"/>
        <c:axPos val="l"/>
        <c:majorGridlines>
          <c:spPr>
            <a:ln w="9525" cap="flat" cmpd="sng" algn="ctr">
              <a:solidFill>
                <a:schemeClr val="tx1">
                  <a:lumMod val="15000"/>
                  <a:lumOff val="85000"/>
                </a:schemeClr>
              </a:solidFill>
              <a:round/>
            </a:ln>
            <a:effectLst/>
          </c:spPr>
        </c:majorGridlines>
        <c:numFmt formatCode="_-[$Rs.-849]* #,##0.00_-;\-[$Rs.-849]* #,##0.00_-;_-[$Rs.-84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169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54429</xdr:colOff>
      <xdr:row>0</xdr:row>
      <xdr:rowOff>10888</xdr:rowOff>
    </xdr:from>
    <xdr:to>
      <xdr:col>22</xdr:col>
      <xdr:colOff>511629</xdr:colOff>
      <xdr:row>49</xdr:row>
      <xdr:rowOff>174173</xdr:rowOff>
    </xdr:to>
    <xdr:sp macro="" textlink="">
      <xdr:nvSpPr>
        <xdr:cNvPr id="50" name="Rectangle 49">
          <a:extLst>
            <a:ext uri="{FF2B5EF4-FFF2-40B4-BE49-F238E27FC236}">
              <a16:creationId xmlns:a16="http://schemas.microsoft.com/office/drawing/2014/main" id="{E3209424-3D73-D6B8-3EE8-00308973269A}"/>
            </a:ext>
          </a:extLst>
        </xdr:cNvPr>
        <xdr:cNvSpPr/>
      </xdr:nvSpPr>
      <xdr:spPr>
        <a:xfrm>
          <a:off x="54429" y="10888"/>
          <a:ext cx="13792200" cy="9797142"/>
        </a:xfrm>
        <a:prstGeom prst="rect">
          <a:avLst/>
        </a:prstGeom>
        <a:solidFill>
          <a:schemeClr val="bg1">
            <a:lumMod val="95000"/>
          </a:schemeClr>
        </a:solidFill>
        <a:ln w="31750">
          <a:solidFill>
            <a:schemeClr val="dk1">
              <a:shade val="95000"/>
              <a:satMod val="105000"/>
              <a:alpha val="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18</xdr:col>
      <xdr:colOff>455535</xdr:colOff>
      <xdr:row>4</xdr:row>
      <xdr:rowOff>144237</xdr:rowOff>
    </xdr:from>
    <xdr:to>
      <xdr:col>22</xdr:col>
      <xdr:colOff>52714</xdr:colOff>
      <xdr:row>11</xdr:row>
      <xdr:rowOff>136072</xdr:rowOff>
    </xdr:to>
    <xdr:sp macro="" textlink="">
      <xdr:nvSpPr>
        <xdr:cNvPr id="46" name="Rectangle: Rounded Corners 45">
          <a:extLst>
            <a:ext uri="{FF2B5EF4-FFF2-40B4-BE49-F238E27FC236}">
              <a16:creationId xmlns:a16="http://schemas.microsoft.com/office/drawing/2014/main" id="{6CABD00B-201F-4E0F-B429-78A1878C41BD}"/>
            </a:ext>
          </a:extLst>
        </xdr:cNvPr>
        <xdr:cNvSpPr/>
      </xdr:nvSpPr>
      <xdr:spPr>
        <a:xfrm>
          <a:off x="11395678" y="1450523"/>
          <a:ext cx="2046465" cy="127771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solidFill>
              <a:schemeClr val="bg1"/>
            </a:solidFill>
          </a:endParaRPr>
        </a:p>
      </xdr:txBody>
    </xdr:sp>
    <xdr:clientData/>
  </xdr:twoCellAnchor>
  <xdr:twoCellAnchor>
    <xdr:from>
      <xdr:col>12</xdr:col>
      <xdr:colOff>486415</xdr:colOff>
      <xdr:row>4</xdr:row>
      <xdr:rowOff>131669</xdr:rowOff>
    </xdr:from>
    <xdr:to>
      <xdr:col>16</xdr:col>
      <xdr:colOff>83594</xdr:colOff>
      <xdr:row>11</xdr:row>
      <xdr:rowOff>156481</xdr:rowOff>
    </xdr:to>
    <xdr:sp macro="" textlink="">
      <xdr:nvSpPr>
        <xdr:cNvPr id="45" name="Rectangle: Rounded Corners 44">
          <a:extLst>
            <a:ext uri="{FF2B5EF4-FFF2-40B4-BE49-F238E27FC236}">
              <a16:creationId xmlns:a16="http://schemas.microsoft.com/office/drawing/2014/main" id="{533FF079-1B28-4498-AF6D-DEF7B996DE79}"/>
            </a:ext>
          </a:extLst>
        </xdr:cNvPr>
        <xdr:cNvSpPr/>
      </xdr:nvSpPr>
      <xdr:spPr>
        <a:xfrm>
          <a:off x="7752629" y="1437955"/>
          <a:ext cx="2046465" cy="1310687"/>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solidFill>
              <a:schemeClr val="bg1"/>
            </a:solidFill>
          </a:endParaRPr>
        </a:p>
      </xdr:txBody>
    </xdr:sp>
    <xdr:clientData/>
  </xdr:twoCellAnchor>
  <xdr:twoCellAnchor>
    <xdr:from>
      <xdr:col>7</xdr:col>
      <xdr:colOff>62751</xdr:colOff>
      <xdr:row>3</xdr:row>
      <xdr:rowOff>21771</xdr:rowOff>
    </xdr:from>
    <xdr:to>
      <xdr:col>10</xdr:col>
      <xdr:colOff>269530</xdr:colOff>
      <xdr:row>14</xdr:row>
      <xdr:rowOff>7003</xdr:rowOff>
    </xdr:to>
    <xdr:sp macro="" textlink="">
      <xdr:nvSpPr>
        <xdr:cNvPr id="44" name="Rectangle: Rounded Corners 43">
          <a:extLst>
            <a:ext uri="{FF2B5EF4-FFF2-40B4-BE49-F238E27FC236}">
              <a16:creationId xmlns:a16="http://schemas.microsoft.com/office/drawing/2014/main" id="{F61C7CFC-07B1-4334-BC40-79D978114E75}"/>
            </a:ext>
          </a:extLst>
        </xdr:cNvPr>
        <xdr:cNvSpPr/>
      </xdr:nvSpPr>
      <xdr:spPr>
        <a:xfrm>
          <a:off x="4253751" y="1143000"/>
          <a:ext cx="2035579" cy="20208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solidFill>
              <a:schemeClr val="bg1"/>
            </a:solidFill>
          </a:endParaRPr>
        </a:p>
      </xdr:txBody>
    </xdr:sp>
    <xdr:clientData/>
  </xdr:twoCellAnchor>
  <xdr:twoCellAnchor>
    <xdr:from>
      <xdr:col>1</xdr:col>
      <xdr:colOff>147502</xdr:colOff>
      <xdr:row>3</xdr:row>
      <xdr:rowOff>11975</xdr:rowOff>
    </xdr:from>
    <xdr:to>
      <xdr:col>4</xdr:col>
      <xdr:colOff>354281</xdr:colOff>
      <xdr:row>14</xdr:row>
      <xdr:rowOff>2970</xdr:rowOff>
    </xdr:to>
    <xdr:sp macro="" textlink="">
      <xdr:nvSpPr>
        <xdr:cNvPr id="3" name="Rectangle: Rounded Corners 2">
          <a:extLst>
            <a:ext uri="{FF2B5EF4-FFF2-40B4-BE49-F238E27FC236}">
              <a16:creationId xmlns:a16="http://schemas.microsoft.com/office/drawing/2014/main" id="{7CABA683-A1D2-63BF-19AE-9517D9EF60D3}"/>
            </a:ext>
          </a:extLst>
        </xdr:cNvPr>
        <xdr:cNvSpPr/>
      </xdr:nvSpPr>
      <xdr:spPr>
        <a:xfrm>
          <a:off x="680902" y="1133204"/>
          <a:ext cx="2035579" cy="2026623"/>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solidFill>
              <a:schemeClr val="bg1"/>
            </a:solidFill>
          </a:endParaRPr>
        </a:p>
      </xdr:txBody>
    </xdr:sp>
    <xdr:clientData/>
  </xdr:twoCellAnchor>
  <xdr:twoCellAnchor>
    <xdr:from>
      <xdr:col>0</xdr:col>
      <xdr:colOff>522675</xdr:colOff>
      <xdr:row>3</xdr:row>
      <xdr:rowOff>54941</xdr:rowOff>
    </xdr:from>
    <xdr:to>
      <xdr:col>4</xdr:col>
      <xdr:colOff>563913</xdr:colOff>
      <xdr:row>5</xdr:row>
      <xdr:rowOff>123521</xdr:rowOff>
    </xdr:to>
    <xdr:sp macro="" textlink="">
      <xdr:nvSpPr>
        <xdr:cNvPr id="4" name="TextBox 3">
          <a:extLst>
            <a:ext uri="{FF2B5EF4-FFF2-40B4-BE49-F238E27FC236}">
              <a16:creationId xmlns:a16="http://schemas.microsoft.com/office/drawing/2014/main" id="{B2558F34-E299-03C4-CA23-C74394B9AA0A}"/>
            </a:ext>
          </a:extLst>
        </xdr:cNvPr>
        <xdr:cNvSpPr txBox="1"/>
      </xdr:nvSpPr>
      <xdr:spPr>
        <a:xfrm>
          <a:off x="522675" y="1176170"/>
          <a:ext cx="2403438" cy="43869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latin typeface="Arial" panose="020B0604020202020204" pitchFamily="34" charset="0"/>
              <a:cs typeface="Arial" panose="020B0604020202020204" pitchFamily="34" charset="0"/>
            </a:rPr>
            <a:t>Total Sales</a:t>
          </a:r>
        </a:p>
      </xdr:txBody>
    </xdr:sp>
    <xdr:clientData/>
  </xdr:twoCellAnchor>
  <xdr:twoCellAnchor>
    <xdr:from>
      <xdr:col>1</xdr:col>
      <xdr:colOff>218324</xdr:colOff>
      <xdr:row>5</xdr:row>
      <xdr:rowOff>112316</xdr:rowOff>
    </xdr:from>
    <xdr:to>
      <xdr:col>4</xdr:col>
      <xdr:colOff>334865</xdr:colOff>
      <xdr:row>8</xdr:row>
      <xdr:rowOff>11079</xdr:rowOff>
    </xdr:to>
    <xdr:sp macro="" textlink="">
      <xdr:nvSpPr>
        <xdr:cNvPr id="5" name="TextBox 4">
          <a:extLst>
            <a:ext uri="{FF2B5EF4-FFF2-40B4-BE49-F238E27FC236}">
              <a16:creationId xmlns:a16="http://schemas.microsoft.com/office/drawing/2014/main" id="{0390F34A-F17D-8343-0359-E05A5A404DD7}"/>
            </a:ext>
          </a:extLst>
        </xdr:cNvPr>
        <xdr:cNvSpPr txBox="1"/>
      </xdr:nvSpPr>
      <xdr:spPr>
        <a:xfrm>
          <a:off x="751724" y="1603659"/>
          <a:ext cx="1945341" cy="453934"/>
        </a:xfrm>
        <a:prstGeom prst="rect">
          <a:avLst/>
        </a:prstGeom>
        <a:solidFill>
          <a:schemeClr val="tx2">
            <a:lumMod val="60000"/>
            <a:lumOff val="4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latin typeface="Arial" panose="020B0604020202020204" pitchFamily="34" charset="0"/>
              <a:cs typeface="Arial" panose="020B0604020202020204" pitchFamily="34" charset="0"/>
            </a:rPr>
            <a:t> </a:t>
          </a:r>
          <a:r>
            <a:rPr lang="en-GB" sz="2400" b="1">
              <a:latin typeface="Arial" panose="020B0604020202020204" pitchFamily="34" charset="0"/>
              <a:cs typeface="Arial" panose="020B0604020202020204" pitchFamily="34" charset="0"/>
            </a:rPr>
            <a:t>125.9M </a:t>
          </a:r>
        </a:p>
      </xdr:txBody>
    </xdr:sp>
    <xdr:clientData/>
  </xdr:twoCellAnchor>
  <mc:AlternateContent xmlns:mc="http://schemas.openxmlformats.org/markup-compatibility/2006">
    <mc:Choice xmlns:a14="http://schemas.microsoft.com/office/drawing/2010/main" Requires="a14">
      <xdr:twoCellAnchor editAs="oneCell">
        <xdr:from>
          <xdr:col>1</xdr:col>
          <xdr:colOff>362106</xdr:colOff>
          <xdr:row>8</xdr:row>
          <xdr:rowOff>95918</xdr:rowOff>
        </xdr:from>
        <xdr:to>
          <xdr:col>4</xdr:col>
          <xdr:colOff>191082</xdr:colOff>
          <xdr:row>13</xdr:row>
          <xdr:rowOff>97972</xdr:rowOff>
        </xdr:to>
        <xdr:pic>
          <xdr:nvPicPr>
            <xdr:cNvPr id="7" name="Picture 6">
              <a:extLst>
                <a:ext uri="{FF2B5EF4-FFF2-40B4-BE49-F238E27FC236}">
                  <a16:creationId xmlns:a16="http://schemas.microsoft.com/office/drawing/2014/main" id="{03940553-EAF2-A43D-077F-6E88A93CF66F}"/>
                </a:ext>
              </a:extLst>
            </xdr:cNvPr>
            <xdr:cNvPicPr>
              <a:picLocks noChangeAspect="1" noChangeArrowheads="1"/>
              <a:extLst>
                <a:ext uri="{84589F7E-364E-4C9E-8A38-B11213B215E9}">
                  <a14:cameraTool cellRange="'Pivot Table'!$B$14" spid="_x0000_s2094"/>
                </a:ext>
              </a:extLst>
            </xdr:cNvPicPr>
          </xdr:nvPicPr>
          <xdr:blipFill>
            <a:blip xmlns:r="http://schemas.openxmlformats.org/officeDocument/2006/relationships" r:embed="rId1"/>
            <a:srcRect/>
            <a:stretch>
              <a:fillRect/>
            </a:stretch>
          </xdr:blipFill>
          <xdr:spPr bwMode="auto">
            <a:xfrm>
              <a:off x="895506" y="2142432"/>
              <a:ext cx="1657776" cy="9273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491712</xdr:colOff>
      <xdr:row>3</xdr:row>
      <xdr:rowOff>62561</xdr:rowOff>
    </xdr:from>
    <xdr:to>
      <xdr:col>10</xdr:col>
      <xdr:colOff>461232</xdr:colOff>
      <xdr:row>5</xdr:row>
      <xdr:rowOff>131141</xdr:rowOff>
    </xdr:to>
    <xdr:sp macro="" textlink="">
      <xdr:nvSpPr>
        <xdr:cNvPr id="17" name="TextBox 16">
          <a:extLst>
            <a:ext uri="{FF2B5EF4-FFF2-40B4-BE49-F238E27FC236}">
              <a16:creationId xmlns:a16="http://schemas.microsoft.com/office/drawing/2014/main" id="{FE6FEF34-660A-4A7B-BC81-A4A3AB019AE2}"/>
            </a:ext>
          </a:extLst>
        </xdr:cNvPr>
        <xdr:cNvSpPr txBox="1"/>
      </xdr:nvSpPr>
      <xdr:spPr>
        <a:xfrm>
          <a:off x="4073112" y="1183790"/>
          <a:ext cx="2407920" cy="43869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latin typeface="Arial" panose="020B0604020202020204" pitchFamily="34" charset="0"/>
              <a:cs typeface="Arial" panose="020B0604020202020204" pitchFamily="34" charset="0"/>
            </a:rPr>
            <a:t>Total Profit</a:t>
          </a:r>
        </a:p>
      </xdr:txBody>
    </xdr:sp>
    <xdr:clientData/>
  </xdr:twoCellAnchor>
  <xdr:twoCellAnchor>
    <xdr:from>
      <xdr:col>12</xdr:col>
      <xdr:colOff>278579</xdr:colOff>
      <xdr:row>5</xdr:row>
      <xdr:rowOff>240</xdr:rowOff>
    </xdr:from>
    <xdr:to>
      <xdr:col>16</xdr:col>
      <xdr:colOff>248099</xdr:colOff>
      <xdr:row>7</xdr:row>
      <xdr:rowOff>73222</xdr:rowOff>
    </xdr:to>
    <xdr:sp macro="" textlink="">
      <xdr:nvSpPr>
        <xdr:cNvPr id="19" name="TextBox 18">
          <a:extLst>
            <a:ext uri="{FF2B5EF4-FFF2-40B4-BE49-F238E27FC236}">
              <a16:creationId xmlns:a16="http://schemas.microsoft.com/office/drawing/2014/main" id="{17169A38-45A0-4258-9656-1F0A3232A0F9}"/>
            </a:ext>
          </a:extLst>
        </xdr:cNvPr>
        <xdr:cNvSpPr txBox="1"/>
      </xdr:nvSpPr>
      <xdr:spPr>
        <a:xfrm>
          <a:off x="7544793" y="1490222"/>
          <a:ext cx="2418806" cy="4403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latin typeface="Arial" panose="020B0604020202020204" pitchFamily="34" charset="0"/>
              <a:cs typeface="Arial" panose="020B0604020202020204" pitchFamily="34" charset="0"/>
            </a:rPr>
            <a:t>Best Product </a:t>
          </a:r>
        </a:p>
      </xdr:txBody>
    </xdr:sp>
    <xdr:clientData/>
  </xdr:twoCellAnchor>
  <xdr:twoCellAnchor>
    <xdr:from>
      <xdr:col>18</xdr:col>
      <xdr:colOff>517071</xdr:colOff>
      <xdr:row>4</xdr:row>
      <xdr:rowOff>63436</xdr:rowOff>
    </xdr:from>
    <xdr:to>
      <xdr:col>22</xdr:col>
      <xdr:colOff>14967</xdr:colOff>
      <xdr:row>8</xdr:row>
      <xdr:rowOff>166084</xdr:rowOff>
    </xdr:to>
    <xdr:sp macro="" textlink="">
      <xdr:nvSpPr>
        <xdr:cNvPr id="21" name="TextBox 20">
          <a:extLst>
            <a:ext uri="{FF2B5EF4-FFF2-40B4-BE49-F238E27FC236}">
              <a16:creationId xmlns:a16="http://schemas.microsoft.com/office/drawing/2014/main" id="{74765EFA-DF54-43F6-8EB1-20449BDB5432}"/>
            </a:ext>
          </a:extLst>
        </xdr:cNvPr>
        <xdr:cNvSpPr txBox="1"/>
      </xdr:nvSpPr>
      <xdr:spPr>
        <a:xfrm>
          <a:off x="11457214" y="1369722"/>
          <a:ext cx="1947182" cy="83743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latin typeface="Arial" panose="020B0604020202020204" pitchFamily="34" charset="0"/>
              <a:cs typeface="Arial" panose="020B0604020202020204" pitchFamily="34" charset="0"/>
            </a:rPr>
            <a:t>Top Sales Rep</a:t>
          </a:r>
        </a:p>
      </xdr:txBody>
    </xdr:sp>
    <xdr:clientData/>
  </xdr:twoCellAnchor>
  <xdr:twoCellAnchor>
    <xdr:from>
      <xdr:col>7</xdr:col>
      <xdr:colOff>116539</xdr:colOff>
      <xdr:row>5</xdr:row>
      <xdr:rowOff>136520</xdr:rowOff>
    </xdr:from>
    <xdr:to>
      <xdr:col>10</xdr:col>
      <xdr:colOff>226806</xdr:colOff>
      <xdr:row>8</xdr:row>
      <xdr:rowOff>41046</xdr:rowOff>
    </xdr:to>
    <xdr:sp macro="" textlink="">
      <xdr:nvSpPr>
        <xdr:cNvPr id="24" name="TextBox 23">
          <a:extLst>
            <a:ext uri="{FF2B5EF4-FFF2-40B4-BE49-F238E27FC236}">
              <a16:creationId xmlns:a16="http://schemas.microsoft.com/office/drawing/2014/main" id="{689391D8-1FCF-46D4-AF1D-0ADD57259FEC}"/>
            </a:ext>
          </a:extLst>
        </xdr:cNvPr>
        <xdr:cNvSpPr txBox="1"/>
      </xdr:nvSpPr>
      <xdr:spPr>
        <a:xfrm>
          <a:off x="4307539" y="1627863"/>
          <a:ext cx="1939067" cy="459697"/>
        </a:xfrm>
        <a:prstGeom prst="rect">
          <a:avLst/>
        </a:prstGeom>
        <a:solidFill>
          <a:srgbClr val="00B050"/>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i="0" u="none" strike="noStrike">
              <a:solidFill>
                <a:srgbClr val="000000"/>
              </a:solidFill>
              <a:effectLst/>
              <a:latin typeface="Arial" panose="020B0604020202020204" pitchFamily="34" charset="0"/>
              <a:cs typeface="Arial" panose="020B0604020202020204" pitchFamily="34" charset="0"/>
            </a:rPr>
            <a:t> </a:t>
          </a:r>
          <a:r>
            <a:rPr lang="en-GB" sz="2400" b="1">
              <a:latin typeface="Arial" panose="020B0604020202020204" pitchFamily="34" charset="0"/>
              <a:cs typeface="Arial" panose="020B0604020202020204" pitchFamily="34" charset="0"/>
            </a:rPr>
            <a:t>26.1M</a:t>
          </a:r>
          <a:r>
            <a:rPr lang="en-GB" sz="1800"/>
            <a:t> </a:t>
          </a:r>
          <a:r>
            <a:rPr lang="en-GB" sz="1800" b="1" i="0" u="none" strike="noStrike">
              <a:solidFill>
                <a:srgbClr val="000000"/>
              </a:solidFill>
              <a:effectLst/>
              <a:latin typeface="Arial" panose="020B0604020202020204" pitchFamily="34" charset="0"/>
              <a:cs typeface="Arial" panose="020B0604020202020204" pitchFamily="34" charset="0"/>
            </a:rPr>
            <a:t>  </a:t>
          </a:r>
          <a:endParaRPr lang="en-GB" sz="1800" b="1">
            <a:latin typeface="Arial" panose="020B0604020202020204" pitchFamily="34" charset="0"/>
            <a:cs typeface="Arial" panose="020B0604020202020204" pitchFamily="34" charset="0"/>
          </a:endParaRPr>
        </a:p>
      </xdr:txBody>
    </xdr:sp>
    <xdr:clientData/>
  </xdr:twoCellAnchor>
  <xdr:twoCellAnchor>
    <xdr:from>
      <xdr:col>12</xdr:col>
      <xdr:colOff>505178</xdr:colOff>
      <xdr:row>7</xdr:row>
      <xdr:rowOff>66178</xdr:rowOff>
    </xdr:from>
    <xdr:to>
      <xdr:col>16</xdr:col>
      <xdr:colOff>59632</xdr:colOff>
      <xdr:row>9</xdr:row>
      <xdr:rowOff>146412</xdr:rowOff>
    </xdr:to>
    <xdr:sp macro="" textlink="">
      <xdr:nvSpPr>
        <xdr:cNvPr id="26" name="TextBox 25">
          <a:extLst>
            <a:ext uri="{FF2B5EF4-FFF2-40B4-BE49-F238E27FC236}">
              <a16:creationId xmlns:a16="http://schemas.microsoft.com/office/drawing/2014/main" id="{17AA4CF5-09EE-49C9-A2BE-E275CC10A13A}"/>
            </a:ext>
          </a:extLst>
        </xdr:cNvPr>
        <xdr:cNvSpPr txBox="1"/>
      </xdr:nvSpPr>
      <xdr:spPr>
        <a:xfrm>
          <a:off x="7771392" y="1923553"/>
          <a:ext cx="2003740" cy="447627"/>
        </a:xfrm>
        <a:prstGeom prst="rect">
          <a:avLst/>
        </a:prstGeom>
        <a:solidFill>
          <a:schemeClr val="accent6">
            <a:lumMod val="75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 </a:t>
          </a:r>
          <a:r>
            <a:rPr lang="en-GB" sz="1800" b="1" i="0" u="none" strike="noStrike">
              <a:solidFill>
                <a:schemeClr val="dk1"/>
              </a:solidFill>
              <a:effectLst/>
              <a:latin typeface="Arial" panose="020B0604020202020204" pitchFamily="34" charset="0"/>
              <a:ea typeface="+mn-ea"/>
              <a:cs typeface="Arial" panose="020B0604020202020204" pitchFamily="34" charset="0"/>
            </a:rPr>
            <a:t>Laptop</a:t>
          </a:r>
          <a:r>
            <a:rPr lang="en-GB" sz="1800" b="1">
              <a:latin typeface="Arial" panose="020B0604020202020204" pitchFamily="34" charset="0"/>
              <a:cs typeface="Arial" panose="020B0604020202020204" pitchFamily="34" charset="0"/>
            </a:rPr>
            <a:t> </a:t>
          </a:r>
        </a:p>
      </xdr:txBody>
    </xdr:sp>
    <xdr:clientData/>
  </xdr:twoCellAnchor>
  <xdr:twoCellAnchor>
    <xdr:from>
      <xdr:col>18</xdr:col>
      <xdr:colOff>491381</xdr:colOff>
      <xdr:row>8</xdr:row>
      <xdr:rowOff>98662</xdr:rowOff>
    </xdr:from>
    <xdr:to>
      <xdr:col>22</xdr:col>
      <xdr:colOff>16251</xdr:colOff>
      <xdr:row>10</xdr:row>
      <xdr:rowOff>178896</xdr:rowOff>
    </xdr:to>
    <xdr:sp macro="" textlink="">
      <xdr:nvSpPr>
        <xdr:cNvPr id="27" name="TextBox 26">
          <a:extLst>
            <a:ext uri="{FF2B5EF4-FFF2-40B4-BE49-F238E27FC236}">
              <a16:creationId xmlns:a16="http://schemas.microsoft.com/office/drawing/2014/main" id="{188A8013-0A3E-4464-86C3-37077BC76BC1}"/>
            </a:ext>
          </a:extLst>
        </xdr:cNvPr>
        <xdr:cNvSpPr txBox="1"/>
      </xdr:nvSpPr>
      <xdr:spPr>
        <a:xfrm>
          <a:off x="11431524" y="2139733"/>
          <a:ext cx="1974156" cy="447627"/>
        </a:xfrm>
        <a:prstGeom prst="rect">
          <a:avLst/>
        </a:prstGeom>
        <a:solidFill>
          <a:schemeClr val="accent4">
            <a:lumMod val="60000"/>
            <a:lumOff val="4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latin typeface="Arial" panose="020B0604020202020204" pitchFamily="34" charset="0"/>
              <a:cs typeface="Arial" panose="020B0604020202020204" pitchFamily="34" charset="0"/>
            </a:rPr>
            <a:t> </a:t>
          </a:r>
          <a:r>
            <a:rPr lang="en-GB" sz="1800" b="1" i="0" u="none" strike="noStrike">
              <a:solidFill>
                <a:schemeClr val="dk1"/>
              </a:solidFill>
              <a:effectLst/>
              <a:latin typeface="Arial" panose="020B0604020202020204" pitchFamily="34" charset="0"/>
              <a:ea typeface="+mn-ea"/>
              <a:cs typeface="Arial" panose="020B0604020202020204" pitchFamily="34" charset="0"/>
            </a:rPr>
            <a:t>Dilshan</a:t>
          </a:r>
          <a:r>
            <a:rPr lang="en-GB" sz="1800" b="1">
              <a:latin typeface="Arial" panose="020B0604020202020204" pitchFamily="34" charset="0"/>
              <a:cs typeface="Arial" panose="020B0604020202020204" pitchFamily="34" charset="0"/>
            </a:rPr>
            <a:t> </a:t>
          </a:r>
        </a:p>
      </xdr:txBody>
    </xdr:sp>
    <xdr:clientData/>
  </xdr:twoCellAnchor>
  <mc:AlternateContent xmlns:mc="http://schemas.openxmlformats.org/markup-compatibility/2006">
    <mc:Choice xmlns:a14="http://schemas.microsoft.com/office/drawing/2010/main" Requires="a14">
      <xdr:twoCellAnchor editAs="oneCell">
        <xdr:from>
          <xdr:col>7</xdr:col>
          <xdr:colOff>244510</xdr:colOff>
          <xdr:row>9</xdr:row>
          <xdr:rowOff>12873</xdr:rowOff>
        </xdr:from>
        <xdr:to>
          <xdr:col>10</xdr:col>
          <xdr:colOff>98834</xdr:colOff>
          <xdr:row>13</xdr:row>
          <xdr:rowOff>27513</xdr:rowOff>
        </xdr:to>
        <xdr:pic>
          <xdr:nvPicPr>
            <xdr:cNvPr id="29" name="Picture 28">
              <a:extLst>
                <a:ext uri="{FF2B5EF4-FFF2-40B4-BE49-F238E27FC236}">
                  <a16:creationId xmlns:a16="http://schemas.microsoft.com/office/drawing/2014/main" id="{5CAA9001-43E9-BEFE-D126-6B98FE935C80}"/>
                </a:ext>
              </a:extLst>
            </xdr:cNvPr>
            <xdr:cNvPicPr>
              <a:picLocks noChangeAspect="1" noChangeArrowheads="1"/>
              <a:extLst>
                <a:ext uri="{84589F7E-364E-4C9E-8A38-B11213B215E9}">
                  <a14:cameraTool cellRange="'Pivot Table'!$C$64" spid="_x0000_s2095"/>
                </a:ext>
              </a:extLst>
            </xdr:cNvPicPr>
          </xdr:nvPicPr>
          <xdr:blipFill>
            <a:blip xmlns:r="http://schemas.openxmlformats.org/officeDocument/2006/relationships" r:embed="rId2"/>
            <a:srcRect/>
            <a:stretch>
              <a:fillRect/>
            </a:stretch>
          </xdr:blipFill>
          <xdr:spPr bwMode="auto">
            <a:xfrm>
              <a:off x="4435510" y="2244444"/>
              <a:ext cx="1683124" cy="75486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152399</xdr:colOff>
      <xdr:row>15</xdr:row>
      <xdr:rowOff>139593</xdr:rowOff>
    </xdr:from>
    <xdr:to>
      <xdr:col>7</xdr:col>
      <xdr:colOff>41237</xdr:colOff>
      <xdr:row>29</xdr:row>
      <xdr:rowOff>45016</xdr:rowOff>
    </xdr:to>
    <xdr:graphicFrame macro="">
      <xdr:nvGraphicFramePr>
        <xdr:cNvPr id="36" name="Chart 35">
          <a:extLst>
            <a:ext uri="{FF2B5EF4-FFF2-40B4-BE49-F238E27FC236}">
              <a16:creationId xmlns:a16="http://schemas.microsoft.com/office/drawing/2014/main" id="{CE79F7B6-66F3-40C5-85EE-245443B05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388690</xdr:colOff>
      <xdr:row>15</xdr:row>
      <xdr:rowOff>150481</xdr:rowOff>
    </xdr:from>
    <xdr:to>
      <xdr:col>15</xdr:col>
      <xdr:colOff>65961</xdr:colOff>
      <xdr:row>29</xdr:row>
      <xdr:rowOff>51870</xdr:rowOff>
    </xdr:to>
    <xdr:graphicFrame macro="">
      <xdr:nvGraphicFramePr>
        <xdr:cNvPr id="37" name="Chart 36">
          <a:extLst>
            <a:ext uri="{FF2B5EF4-FFF2-40B4-BE49-F238E27FC236}">
              <a16:creationId xmlns:a16="http://schemas.microsoft.com/office/drawing/2014/main" id="{F3FDD6F4-A89C-4A87-8943-4BC8DD8E1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382921</xdr:colOff>
      <xdr:row>15</xdr:row>
      <xdr:rowOff>172251</xdr:rowOff>
    </xdr:from>
    <xdr:to>
      <xdr:col>22</xdr:col>
      <xdr:colOff>387403</xdr:colOff>
      <xdr:row>29</xdr:row>
      <xdr:rowOff>55710</xdr:rowOff>
    </xdr:to>
    <xdr:graphicFrame macro="">
      <xdr:nvGraphicFramePr>
        <xdr:cNvPr id="38" name="Chart 37">
          <a:extLst>
            <a:ext uri="{FF2B5EF4-FFF2-40B4-BE49-F238E27FC236}">
              <a16:creationId xmlns:a16="http://schemas.microsoft.com/office/drawing/2014/main" id="{1E82CB5C-61CE-4E6C-9B4B-B51AAF28E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356025</xdr:colOff>
      <xdr:row>31</xdr:row>
      <xdr:rowOff>165200</xdr:rowOff>
    </xdr:from>
    <xdr:to>
      <xdr:col>15</xdr:col>
      <xdr:colOff>51225</xdr:colOff>
      <xdr:row>47</xdr:row>
      <xdr:rowOff>39694</xdr:rowOff>
    </xdr:to>
    <xdr:graphicFrame macro="">
      <xdr:nvGraphicFramePr>
        <xdr:cNvPr id="39" name="Chart 38">
          <a:extLst>
            <a:ext uri="{FF2B5EF4-FFF2-40B4-BE49-F238E27FC236}">
              <a16:creationId xmlns:a16="http://schemas.microsoft.com/office/drawing/2014/main" id="{6E7CF5B1-E529-496C-9EF2-FDE0DD320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143435</xdr:colOff>
      <xdr:row>31</xdr:row>
      <xdr:rowOff>183137</xdr:rowOff>
    </xdr:from>
    <xdr:to>
      <xdr:col>3</xdr:col>
      <xdr:colOff>412376</xdr:colOff>
      <xdr:row>38</xdr:row>
      <xdr:rowOff>54429</xdr:rowOff>
    </xdr:to>
    <mc:AlternateContent xmlns:mc="http://schemas.openxmlformats.org/markup-compatibility/2006">
      <mc:Choice xmlns:a14="http://schemas.microsoft.com/office/drawing/2010/main" Requires="a14">
        <xdr:graphicFrame macro="">
          <xdr:nvGraphicFramePr>
            <xdr:cNvPr id="40" name="Category">
              <a:extLst>
                <a:ext uri="{FF2B5EF4-FFF2-40B4-BE49-F238E27FC236}">
                  <a16:creationId xmlns:a16="http://schemas.microsoft.com/office/drawing/2014/main" id="{9360E198-C29F-4F05-AC1B-D09BA3557D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3435" y="6334555"/>
              <a:ext cx="2028468" cy="11320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555811</xdr:colOff>
      <xdr:row>32</xdr:row>
      <xdr:rowOff>1358</xdr:rowOff>
    </xdr:from>
    <xdr:to>
      <xdr:col>7</xdr:col>
      <xdr:colOff>62752</xdr:colOff>
      <xdr:row>48</xdr:row>
      <xdr:rowOff>54428</xdr:rowOff>
    </xdr:to>
    <mc:AlternateContent xmlns:mc="http://schemas.openxmlformats.org/markup-compatibility/2006">
      <mc:Choice xmlns:a14="http://schemas.microsoft.com/office/drawing/2010/main" Requires="a14">
        <xdr:graphicFrame macro="">
          <xdr:nvGraphicFramePr>
            <xdr:cNvPr id="41" name="Sales Rep">
              <a:extLst>
                <a:ext uri="{FF2B5EF4-FFF2-40B4-BE49-F238E27FC236}">
                  <a16:creationId xmlns:a16="http://schemas.microsoft.com/office/drawing/2014/main" id="{AA6586A5-4CDD-41DD-82DC-C220EAFEFCC9}"/>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2315338" y="6332885"/>
              <a:ext cx="1945341" cy="29348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377157</xdr:colOff>
      <xdr:row>32</xdr:row>
      <xdr:rowOff>8966</xdr:rowOff>
    </xdr:from>
    <xdr:to>
      <xdr:col>18</xdr:col>
      <xdr:colOff>520593</xdr:colOff>
      <xdr:row>48</xdr:row>
      <xdr:rowOff>54429</xdr:rowOff>
    </xdr:to>
    <mc:AlternateContent xmlns:mc="http://schemas.openxmlformats.org/markup-compatibility/2006">
      <mc:Choice xmlns:a14="http://schemas.microsoft.com/office/drawing/2010/main" Requires="a14">
        <xdr:graphicFrame macro="">
          <xdr:nvGraphicFramePr>
            <xdr:cNvPr id="42" name="Product">
              <a:extLst>
                <a:ext uri="{FF2B5EF4-FFF2-40B4-BE49-F238E27FC236}">
                  <a16:creationId xmlns:a16="http://schemas.microsoft.com/office/drawing/2014/main" id="{1B04D20E-776D-44FE-B0EB-F20C48A2F5B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451884" y="6340493"/>
              <a:ext cx="1972236" cy="29272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135750</xdr:colOff>
      <xdr:row>32</xdr:row>
      <xdr:rowOff>32649</xdr:rowOff>
    </xdr:from>
    <xdr:to>
      <xdr:col>22</xdr:col>
      <xdr:colOff>364350</xdr:colOff>
      <xdr:row>45</xdr:row>
      <xdr:rowOff>122465</xdr:rowOff>
    </xdr:to>
    <mc:AlternateContent xmlns:mc="http://schemas.openxmlformats.org/markup-compatibility/2006">
      <mc:Choice xmlns:a14="http://schemas.microsoft.com/office/drawing/2010/main" Requires="a14">
        <xdr:graphicFrame macro="">
          <xdr:nvGraphicFramePr>
            <xdr:cNvPr id="43" name="Region">
              <a:extLst>
                <a:ext uri="{FF2B5EF4-FFF2-40B4-BE49-F238E27FC236}">
                  <a16:creationId xmlns:a16="http://schemas.microsoft.com/office/drawing/2014/main" id="{91C874EE-F58C-4878-B81E-0A4EACD9F1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48877" y="6364176"/>
              <a:ext cx="2057400" cy="24312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203117</xdr:colOff>
      <xdr:row>0</xdr:row>
      <xdr:rowOff>181346</xdr:rowOff>
    </xdr:from>
    <xdr:to>
      <xdr:col>18</xdr:col>
      <xdr:colOff>214003</xdr:colOff>
      <xdr:row>5</xdr:row>
      <xdr:rowOff>23503</xdr:rowOff>
    </xdr:to>
    <xdr:sp macro="" textlink="">
      <xdr:nvSpPr>
        <xdr:cNvPr id="51" name="TextBox 50">
          <a:extLst>
            <a:ext uri="{FF2B5EF4-FFF2-40B4-BE49-F238E27FC236}">
              <a16:creationId xmlns:a16="http://schemas.microsoft.com/office/drawing/2014/main" id="{593746DD-36AD-5B5A-0D22-13E1763AD384}"/>
            </a:ext>
          </a:extLst>
        </xdr:cNvPr>
        <xdr:cNvSpPr txBox="1"/>
      </xdr:nvSpPr>
      <xdr:spPr>
        <a:xfrm>
          <a:off x="2572244" y="181346"/>
          <a:ext cx="8545286" cy="13107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latin typeface="Segoe UI" panose="020B0502040204020203" pitchFamily="34" charset="0"/>
              <a:ea typeface="Calibri Light" panose="020F0302020204030204" pitchFamily="34" charset="0"/>
              <a:cs typeface="Segoe UI" panose="020B0502040204020203" pitchFamily="34" charset="0"/>
            </a:rPr>
            <a:t>Sales Performance Dashboard</a:t>
          </a:r>
        </a:p>
      </xdr:txBody>
    </xdr:sp>
    <xdr:clientData/>
  </xdr:twoCellAnchor>
  <xdr:twoCellAnchor>
    <xdr:from>
      <xdr:col>16</xdr:col>
      <xdr:colOff>392010</xdr:colOff>
      <xdr:row>48</xdr:row>
      <xdr:rowOff>81642</xdr:rowOff>
    </xdr:from>
    <xdr:to>
      <xdr:col>23</xdr:col>
      <xdr:colOff>507670</xdr:colOff>
      <xdr:row>50</xdr:row>
      <xdr:rowOff>170089</xdr:rowOff>
    </xdr:to>
    <xdr:sp macro="" textlink="">
      <xdr:nvSpPr>
        <xdr:cNvPr id="56" name="TextBox 55">
          <a:extLst>
            <a:ext uri="{FF2B5EF4-FFF2-40B4-BE49-F238E27FC236}">
              <a16:creationId xmlns:a16="http://schemas.microsoft.com/office/drawing/2014/main" id="{046DFA3C-D8A7-CEED-A62A-90A25C291BF9}"/>
            </a:ext>
          </a:extLst>
        </xdr:cNvPr>
        <xdr:cNvSpPr txBox="1"/>
      </xdr:nvSpPr>
      <xdr:spPr>
        <a:xfrm>
          <a:off x="10076337" y="9294915"/>
          <a:ext cx="4618388" cy="4486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Created by Kesara Lakpriya | Advanced Excel Portfolio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7620</xdr:rowOff>
    </xdr:from>
    <xdr:to>
      <xdr:col>9</xdr:col>
      <xdr:colOff>434340</xdr:colOff>
      <xdr:row>14</xdr:row>
      <xdr:rowOff>45720</xdr:rowOff>
    </xdr:to>
    <xdr:graphicFrame macro="">
      <xdr:nvGraphicFramePr>
        <xdr:cNvPr id="2" name="Chart 1">
          <a:extLst>
            <a:ext uri="{FF2B5EF4-FFF2-40B4-BE49-F238E27FC236}">
              <a16:creationId xmlns:a16="http://schemas.microsoft.com/office/drawing/2014/main" id="{98A55EA6-1718-32F5-4427-686C06CED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815340</xdr:colOff>
      <xdr:row>16</xdr:row>
      <xdr:rowOff>7620</xdr:rowOff>
    </xdr:from>
    <xdr:to>
      <xdr:col>11</xdr:col>
      <xdr:colOff>7620</xdr:colOff>
      <xdr:row>28</xdr:row>
      <xdr:rowOff>114300</xdr:rowOff>
    </xdr:to>
    <xdr:graphicFrame macro="">
      <xdr:nvGraphicFramePr>
        <xdr:cNvPr id="3" name="Chart 2">
          <a:extLst>
            <a:ext uri="{FF2B5EF4-FFF2-40B4-BE49-F238E27FC236}">
              <a16:creationId xmlns:a16="http://schemas.microsoft.com/office/drawing/2014/main" id="{5303E660-0995-AD2A-F72A-71647F39C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31</xdr:row>
      <xdr:rowOff>0</xdr:rowOff>
    </xdr:from>
    <xdr:to>
      <xdr:col>10</xdr:col>
      <xdr:colOff>205740</xdr:colOff>
      <xdr:row>44</xdr:row>
      <xdr:rowOff>175260</xdr:rowOff>
    </xdr:to>
    <xdr:graphicFrame macro="">
      <xdr:nvGraphicFramePr>
        <xdr:cNvPr id="4" name="Chart 3">
          <a:extLst>
            <a:ext uri="{FF2B5EF4-FFF2-40B4-BE49-F238E27FC236}">
              <a16:creationId xmlns:a16="http://schemas.microsoft.com/office/drawing/2014/main" id="{8DFEFC4B-D408-35C3-D307-5E395869F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121920</xdr:colOff>
      <xdr:row>46</xdr:row>
      <xdr:rowOff>160020</xdr:rowOff>
    </xdr:from>
    <xdr:to>
      <xdr:col>10</xdr:col>
      <xdr:colOff>426720</xdr:colOff>
      <xdr:row>61</xdr:row>
      <xdr:rowOff>160020</xdr:rowOff>
    </xdr:to>
    <xdr:graphicFrame macro="">
      <xdr:nvGraphicFramePr>
        <xdr:cNvPr id="10" name="Chart 9">
          <a:extLst>
            <a:ext uri="{FF2B5EF4-FFF2-40B4-BE49-F238E27FC236}">
              <a16:creationId xmlns:a16="http://schemas.microsoft.com/office/drawing/2014/main" id="{944255CC-8157-80C6-BC5E-11CEBD5E0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ARA" refreshedDate="46202.930161921293" createdVersion="8" refreshedVersion="8" minRefreshableVersion="3" recordCount="1000" xr:uid="{707A4E09-7AC7-4ECD-A0D9-1F35340D9552}">
  <cacheSource type="worksheet">
    <worksheetSource name="Table1"/>
  </cacheSource>
  <cacheFields count="16">
    <cacheField name="OrderID" numFmtId="0">
      <sharedItems/>
    </cacheField>
    <cacheField name="Date" numFmtId="0">
      <sharedItems count="342">
        <s v="2026-06-11"/>
        <s v="2026-05-14"/>
        <s v="2026-10-28"/>
        <s v="2026-04-06"/>
        <s v="2026-12-06"/>
        <s v="2026-06-18"/>
        <s v="2026-03-04"/>
        <s v="2026-03-26"/>
        <s v="2026-09-19"/>
        <s v="2026-10-20"/>
        <s v="2026-11-12"/>
        <s v="2026-10-06"/>
        <s v="2026-10-29"/>
        <s v="2026-02-21"/>
        <s v="2026-08-06"/>
        <s v="2026-07-10"/>
        <s v="2026-09-04"/>
        <s v="2026-04-29"/>
        <s v="2026-05-06"/>
        <s v="2026-12-26"/>
        <s v="2026-12-10"/>
        <s v="2026-11-09"/>
        <s v="2026-05-11"/>
        <s v="2026-12-09"/>
        <s v="2026-01-26"/>
        <s v="2026-06-25"/>
        <s v="2026-01-04"/>
        <s v="2026-08-18"/>
        <s v="2026-12-27"/>
        <s v="2026-05-12"/>
        <s v="2026-05-29"/>
        <s v="2026-12-07"/>
        <s v="2026-05-16"/>
        <s v="2026-10-25"/>
        <s v="2026-06-23"/>
        <s v="2026-01-21"/>
        <s v="2026-12-30"/>
        <s v="2026-08-17"/>
        <s v="2026-05-01"/>
        <s v="2026-12-19"/>
        <s v="2026-01-31"/>
        <s v="2026-08-15"/>
        <s v="2026-03-13"/>
        <s v="2026-05-05"/>
        <s v="2026-09-20"/>
        <s v="2026-09-14"/>
        <s v="2026-01-02"/>
        <s v="2026-10-05"/>
        <s v="2026-02-11"/>
        <s v="2026-01-18"/>
        <s v="2026-06-16"/>
        <s v="2026-06-12"/>
        <s v="2026-04-28"/>
        <s v="2026-06-19"/>
        <s v="2026-03-22"/>
        <s v="2026-12-22"/>
        <s v="2026-10-02"/>
        <s v="2026-02-08"/>
        <s v="2026-04-30"/>
        <s v="2026-08-29"/>
        <s v="2026-02-16"/>
        <s v="2026-11-11"/>
        <s v="2026-07-07"/>
        <s v="2026-05-28"/>
        <s v="2026-09-01"/>
        <s v="2026-09-16"/>
        <s v="2026-12-04"/>
        <s v="2026-05-26"/>
        <s v="2026-12-11"/>
        <s v="2026-09-10"/>
        <s v="2026-11-30"/>
        <s v="2026-12-25"/>
        <s v="2026-10-09"/>
        <s v="2026-07-01"/>
        <s v="2026-12-29"/>
        <s v="2026-12-28"/>
        <s v="2026-01-10"/>
        <s v="2026-08-07"/>
        <s v="2026-07-27"/>
        <s v="2026-12-03"/>
        <s v="2026-11-10"/>
        <s v="2026-07-14"/>
        <s v="2026-02-24"/>
        <s v="2026-07-09"/>
        <s v="2026-03-05"/>
        <s v="2026-11-29"/>
        <s v="2026-11-23"/>
        <s v="2026-04-19"/>
        <s v="2026-03-01"/>
        <s v="2026-06-26"/>
        <s v="2026-09-02"/>
        <s v="2026-03-10"/>
        <s v="2026-03-30"/>
        <s v="2026-02-10"/>
        <s v="2026-01-11"/>
        <s v="2026-06-15"/>
        <s v="2026-11-08"/>
        <s v="2026-11-27"/>
        <s v="2026-07-22"/>
        <s v="2026-03-21"/>
        <s v="2026-06-06"/>
        <s v="2026-11-13"/>
        <s v="2026-04-04"/>
        <s v="2026-06-21"/>
        <s v="2026-06-27"/>
        <s v="2026-11-14"/>
        <s v="2026-02-02"/>
        <s v="2026-06-01"/>
        <s v="2026-08-20"/>
        <s v="2026-03-19"/>
        <s v="2026-06-17"/>
        <s v="2026-05-20"/>
        <s v="2026-09-30"/>
        <s v="2026-10-27"/>
        <s v="2026-05-10"/>
        <s v="2026-12-23"/>
        <s v="2026-10-15"/>
        <s v="2026-03-03"/>
        <s v="2026-11-15"/>
        <s v="2026-09-12"/>
        <s v="2026-07-17"/>
        <s v="2026-05-21"/>
        <s v="2026-03-12"/>
        <s v="2026-10-23"/>
        <s v="2026-01-13"/>
        <s v="2026-11-07"/>
        <s v="2026-07-03"/>
        <s v="2026-01-08"/>
        <s v="2026-11-26"/>
        <s v="2026-12-18"/>
        <s v="2026-07-11"/>
        <s v="2026-09-08"/>
        <s v="2026-02-09"/>
        <s v="2026-04-14"/>
        <s v="2026-03-09"/>
        <s v="2026-03-14"/>
        <s v="2026-07-23"/>
        <s v="2026-02-06"/>
        <s v="2026-07-13"/>
        <s v="2026-08-13"/>
        <s v="2026-10-11"/>
        <s v="2026-09-22"/>
        <s v="2026-08-28"/>
        <s v="2026-06-14"/>
        <s v="2026-08-21"/>
        <s v="2026-04-25"/>
        <s v="2026-04-23"/>
        <s v="2026-05-18"/>
        <s v="2026-01-25"/>
        <s v="2026-05-02"/>
        <s v="2026-08-25"/>
        <s v="2026-08-16"/>
        <s v="2026-09-07"/>
        <s v="2026-05-30"/>
        <s v="2026-02-07"/>
        <s v="2026-05-07"/>
        <s v="2026-07-19"/>
        <s v="2026-04-15"/>
        <s v="2026-11-24"/>
        <s v="2026-06-09"/>
        <s v="2026-08-26"/>
        <s v="2026-11-20"/>
        <s v="2026-01-05"/>
        <s v="2026-12-15"/>
        <s v="2026-08-30"/>
        <s v="2026-07-02"/>
        <s v="2026-11-18"/>
        <s v="2026-03-25"/>
        <s v="2026-04-22"/>
        <s v="2026-09-26"/>
        <s v="2026-08-24"/>
        <s v="2026-05-22"/>
        <s v="2026-04-27"/>
        <s v="2026-05-31"/>
        <s v="2026-07-24"/>
        <s v="2026-02-20"/>
        <s v="2026-11-19"/>
        <s v="2026-01-03"/>
        <s v="2026-04-13"/>
        <s v="2026-11-02"/>
        <s v="2026-02-13"/>
        <s v="2026-12-24"/>
        <s v="2026-01-16"/>
        <s v="2026-10-18"/>
        <s v="2026-03-18"/>
        <s v="2026-02-05"/>
        <s v="2026-06-22"/>
        <s v="2026-05-17"/>
        <s v="2026-06-29"/>
        <s v="2026-01-20"/>
        <s v="2026-11-03"/>
        <s v="2026-04-18"/>
        <s v="2026-10-30"/>
        <s v="2026-07-30"/>
        <s v="2026-04-10"/>
        <s v="2026-07-31"/>
        <s v="2026-04-11"/>
        <s v="2026-12-21"/>
        <s v="2026-08-03"/>
        <s v="2026-03-29"/>
        <s v="2026-07-08"/>
        <s v="2026-07-15"/>
        <s v="2026-04-20"/>
        <s v="2026-05-15"/>
        <s v="2026-10-19"/>
        <s v="2026-02-12"/>
        <s v="2026-02-22"/>
        <s v="2026-08-08"/>
        <s v="2026-12-17"/>
        <s v="2026-08-27"/>
        <s v="2026-09-03"/>
        <s v="2026-01-22"/>
        <s v="2026-07-26"/>
        <s v="2026-05-27"/>
        <s v="2026-10-26"/>
        <s v="2026-07-29"/>
        <s v="2026-05-25"/>
        <s v="2026-08-09"/>
        <s v="2026-10-17"/>
        <s v="2026-03-17"/>
        <s v="2026-10-24"/>
        <s v="2026-04-03"/>
        <s v="2026-02-01"/>
        <s v="2026-02-03"/>
        <s v="2026-05-09"/>
        <s v="2026-08-23"/>
        <s v="2026-03-06"/>
        <s v="2026-04-01"/>
        <s v="2026-12-20"/>
        <s v="2026-11-06"/>
        <s v="2026-05-13"/>
        <s v="2026-01-29"/>
        <s v="2026-06-13"/>
        <s v="2026-12-01"/>
        <s v="2026-04-09"/>
        <s v="2026-08-22"/>
        <s v="2026-09-29"/>
        <s v="2026-04-16"/>
        <s v="2026-05-03"/>
        <s v="2026-12-14"/>
        <s v="2026-10-01"/>
        <s v="2026-02-14"/>
        <s v="2026-10-31"/>
        <s v="2026-03-20"/>
        <s v="2026-02-18"/>
        <s v="2026-09-28"/>
        <s v="2026-10-07"/>
        <s v="2026-06-04"/>
        <s v="2026-06-07"/>
        <s v="2026-02-19"/>
        <s v="2026-03-23"/>
        <s v="2026-09-17"/>
        <s v="2026-03-27"/>
        <s v="2026-08-31"/>
        <s v="2026-11-05"/>
        <s v="2026-05-08"/>
        <s v="2026-04-26"/>
        <s v="2026-01-07"/>
        <s v="2026-03-07"/>
        <s v="2026-06-05"/>
        <s v="2026-02-27"/>
        <s v="2026-03-28"/>
        <s v="2026-10-08"/>
        <s v="2026-03-16"/>
        <s v="2026-06-30"/>
        <s v="2026-10-22"/>
        <s v="2026-01-30"/>
        <s v="2026-12-31"/>
        <s v="2026-08-02"/>
        <s v="2026-11-21"/>
        <s v="2026-12-08"/>
        <s v="2026-06-28"/>
        <s v="2026-09-24"/>
        <s v="2026-09-21"/>
        <s v="2026-02-26"/>
        <s v="2026-03-31"/>
        <s v="2026-07-28"/>
        <s v="2026-10-04"/>
        <s v="2026-03-08"/>
        <s v="2026-11-17"/>
        <s v="2026-12-16"/>
        <s v="2026-06-24"/>
        <s v="2026-01-28"/>
        <s v="2026-08-04"/>
        <s v="2026-08-01"/>
        <s v="2026-01-06"/>
        <s v="2026-07-18"/>
        <s v="2026-09-18"/>
        <s v="2026-07-25"/>
        <s v="2026-08-19"/>
        <s v="2026-06-10"/>
        <s v="2026-10-10"/>
        <s v="2026-04-17"/>
        <s v="2026-05-19"/>
        <s v="2026-07-16"/>
        <s v="2026-03-11"/>
        <s v="2026-01-14"/>
        <s v="2026-02-23"/>
        <s v="2026-07-20"/>
        <s v="2026-10-14"/>
        <s v="2026-11-25"/>
        <s v="2026-04-07"/>
        <s v="2026-01-19"/>
        <s v="2026-08-14"/>
        <s v="2026-04-24"/>
        <s v="2026-03-02"/>
        <s v="2026-01-01"/>
        <s v="2026-01-23"/>
        <s v="2026-01-24"/>
        <s v="2026-09-27"/>
        <s v="2026-12-12"/>
        <s v="2026-09-06"/>
        <s v="2026-03-15"/>
        <s v="2026-02-28"/>
        <s v="2026-06-20"/>
        <s v="2026-04-21"/>
        <s v="2026-02-15"/>
        <s v="2026-01-15"/>
        <s v="2026-08-11"/>
        <s v="2026-09-11"/>
        <s v="2026-10-21"/>
        <s v="2026-05-24"/>
        <s v="2026-02-17"/>
        <s v="2026-06-03"/>
        <s v="2026-07-12"/>
        <s v="2026-02-25"/>
        <s v="2026-09-15"/>
        <s v="2026-07-05"/>
        <s v="2026-02-04"/>
        <s v="2026-05-04"/>
        <s v="2026-09-05"/>
        <s v="2026-08-12"/>
        <s v="2026-11-28"/>
        <s v="2026-12-02"/>
        <s v="2026-03-24"/>
        <s v="2026-01-09"/>
        <s v="2026-09-09"/>
        <s v="2026-10-16"/>
        <s v="2026-12-05"/>
        <s v="2026-10-03"/>
        <s v="2026-06-02"/>
        <s v="2026-12-13"/>
      </sharedItems>
      <fieldGroup par="15"/>
    </cacheField>
    <cacheField name="Customer" numFmtId="0">
      <sharedItems/>
    </cacheField>
    <cacheField name="Region" numFmtId="0">
      <sharedItems count="8">
        <s v="Matara"/>
        <s v="Jaffna"/>
        <s v="Colombo"/>
        <s v="Badulla"/>
        <s v="Kandy"/>
        <s v="Kurunegala"/>
        <s v="Galle"/>
        <s v="Negombo"/>
      </sharedItems>
    </cacheField>
    <cacheField name="Product" numFmtId="0">
      <sharedItems count="10">
        <s v="Laptop"/>
        <s v="Printer"/>
        <s v="Mouse"/>
        <s v="USB"/>
        <s v="Monitor"/>
        <s v="Webcam"/>
        <s v="Headphones"/>
        <s v="Keyboard"/>
        <s v="SSD"/>
        <s v="Mobile"/>
      </sharedItems>
    </cacheField>
    <cacheField name="Qty" numFmtId="0">
      <sharedItems containsSemiMixedTypes="0" containsString="0" containsNumber="1" containsInteger="1" minValue="1" maxValue="5"/>
    </cacheField>
    <cacheField name="Unit Price" numFmtId="0">
      <sharedItems containsSemiMixedTypes="0" containsString="0" containsNumber="1" containsInteger="1" minValue="2000" maxValue="150000"/>
    </cacheField>
    <cacheField name="Sales Rep" numFmtId="0">
      <sharedItems count="10">
        <s v="Nuwan"/>
        <s v="Kasun"/>
        <s v="Kavinda"/>
        <s v="Tharindu"/>
        <s v="Pasindu"/>
        <s v="Dilshan"/>
        <s v="Nimesh"/>
        <s v="Sachin"/>
        <s v="Shehan"/>
        <s v="Amila"/>
      </sharedItems>
    </cacheField>
    <cacheField name="Category" numFmtId="0">
      <sharedItems count="3">
        <s v="Electronics"/>
        <s v="Accessories"/>
        <s v="Storage"/>
      </sharedItems>
    </cacheField>
    <cacheField name="Cost Price" numFmtId="0">
      <sharedItems containsSemiMixedTypes="0" containsString="0" containsNumber="1" containsInteger="1" minValue="1200" maxValue="120000"/>
    </cacheField>
    <cacheField name="Brand " numFmtId="0">
      <sharedItems/>
    </cacheField>
    <cacheField name="Total Sale" numFmtId="0">
      <sharedItems containsSemiMixedTypes="0" containsString="0" containsNumber="1" containsInteger="1" minValue="2000" maxValue="750000"/>
    </cacheField>
    <cacheField name="Total Cost" numFmtId="0">
      <sharedItems containsSemiMixedTypes="0" containsString="0" containsNumber="1" containsInteger="1" minValue="1200" maxValue="600000"/>
    </cacheField>
    <cacheField name="Profit" numFmtId="0">
      <sharedItems containsSemiMixedTypes="0" containsString="0" containsNumber="1" containsInteger="1" minValue="800" maxValue="150000"/>
    </cacheField>
    <cacheField name="Profit Margin %" numFmtId="9">
      <sharedItems containsSemiMixedTypes="0" containsString="0" containsNumber="1" minValue="0.16666666666666666" maxValue="0.4"/>
    </cacheField>
    <cacheField name="Date2" numFmtId="0" databaseField="0">
      <fieldGroup base="1">
        <discretePr count="342">
          <x v="5"/>
          <x v="4"/>
          <x v="9"/>
          <x v="3"/>
          <x v="11"/>
          <x v="5"/>
          <x v="2"/>
          <x v="2"/>
          <x v="8"/>
          <x v="9"/>
          <x v="10"/>
          <x v="9"/>
          <x v="9"/>
          <x v="1"/>
          <x v="6"/>
          <x v="7"/>
          <x v="8"/>
          <x v="3"/>
          <x v="4"/>
          <x v="11"/>
          <x v="11"/>
          <x v="10"/>
          <x v="4"/>
          <x v="11"/>
          <x v="0"/>
          <x v="5"/>
          <x v="0"/>
          <x v="6"/>
          <x v="11"/>
          <x v="4"/>
          <x v="4"/>
          <x v="11"/>
          <x v="4"/>
          <x v="9"/>
          <x v="5"/>
          <x v="0"/>
          <x v="11"/>
          <x v="6"/>
          <x v="4"/>
          <x v="11"/>
          <x v="0"/>
          <x v="6"/>
          <x v="2"/>
          <x v="4"/>
          <x v="8"/>
          <x v="8"/>
          <x v="0"/>
          <x v="9"/>
          <x v="1"/>
          <x v="0"/>
          <x v="5"/>
          <x v="5"/>
          <x v="3"/>
          <x v="5"/>
          <x v="2"/>
          <x v="11"/>
          <x v="9"/>
          <x v="1"/>
          <x v="3"/>
          <x v="6"/>
          <x v="1"/>
          <x v="10"/>
          <x v="7"/>
          <x v="4"/>
          <x v="8"/>
          <x v="8"/>
          <x v="11"/>
          <x v="4"/>
          <x v="11"/>
          <x v="8"/>
          <x v="10"/>
          <x v="11"/>
          <x v="9"/>
          <x v="7"/>
          <x v="11"/>
          <x v="11"/>
          <x v="0"/>
          <x v="6"/>
          <x v="7"/>
          <x v="11"/>
          <x v="10"/>
          <x v="7"/>
          <x v="1"/>
          <x v="7"/>
          <x v="2"/>
          <x v="10"/>
          <x v="10"/>
          <x v="3"/>
          <x v="2"/>
          <x v="5"/>
          <x v="8"/>
          <x v="2"/>
          <x v="2"/>
          <x v="1"/>
          <x v="0"/>
          <x v="5"/>
          <x v="10"/>
          <x v="10"/>
          <x v="7"/>
          <x v="2"/>
          <x v="5"/>
          <x v="10"/>
          <x v="3"/>
          <x v="5"/>
          <x v="5"/>
          <x v="10"/>
          <x v="1"/>
          <x v="5"/>
          <x v="6"/>
          <x v="2"/>
          <x v="5"/>
          <x v="4"/>
          <x v="8"/>
          <x v="9"/>
          <x v="4"/>
          <x v="11"/>
          <x v="9"/>
          <x v="2"/>
          <x v="10"/>
          <x v="8"/>
          <x v="7"/>
          <x v="4"/>
          <x v="2"/>
          <x v="9"/>
          <x v="0"/>
          <x v="10"/>
          <x v="7"/>
          <x v="0"/>
          <x v="10"/>
          <x v="11"/>
          <x v="7"/>
          <x v="8"/>
          <x v="1"/>
          <x v="3"/>
          <x v="2"/>
          <x v="2"/>
          <x v="7"/>
          <x v="1"/>
          <x v="7"/>
          <x v="6"/>
          <x v="9"/>
          <x v="8"/>
          <x v="6"/>
          <x v="5"/>
          <x v="6"/>
          <x v="3"/>
          <x v="3"/>
          <x v="4"/>
          <x v="0"/>
          <x v="4"/>
          <x v="6"/>
          <x v="6"/>
          <x v="8"/>
          <x v="4"/>
          <x v="1"/>
          <x v="4"/>
          <x v="7"/>
          <x v="3"/>
          <x v="10"/>
          <x v="5"/>
          <x v="6"/>
          <x v="10"/>
          <x v="0"/>
          <x v="11"/>
          <x v="6"/>
          <x v="7"/>
          <x v="10"/>
          <x v="2"/>
          <x v="3"/>
          <x v="8"/>
          <x v="6"/>
          <x v="4"/>
          <x v="3"/>
          <x v="4"/>
          <x v="7"/>
          <x v="1"/>
          <x v="10"/>
          <x v="0"/>
          <x v="3"/>
          <x v="10"/>
          <x v="1"/>
          <x v="11"/>
          <x v="0"/>
          <x v="9"/>
          <x v="2"/>
          <x v="1"/>
          <x v="5"/>
          <x v="4"/>
          <x v="5"/>
          <x v="0"/>
          <x v="10"/>
          <x v="3"/>
          <x v="9"/>
          <x v="7"/>
          <x v="3"/>
          <x v="7"/>
          <x v="3"/>
          <x v="11"/>
          <x v="6"/>
          <x v="2"/>
          <x v="7"/>
          <x v="7"/>
          <x v="3"/>
          <x v="4"/>
          <x v="9"/>
          <x v="1"/>
          <x v="1"/>
          <x v="6"/>
          <x v="11"/>
          <x v="6"/>
          <x v="8"/>
          <x v="0"/>
          <x v="7"/>
          <x v="4"/>
          <x v="9"/>
          <x v="7"/>
          <x v="4"/>
          <x v="6"/>
          <x v="9"/>
          <x v="2"/>
          <x v="9"/>
          <x v="3"/>
          <x v="1"/>
          <x v="1"/>
          <x v="4"/>
          <x v="6"/>
          <x v="2"/>
          <x v="3"/>
          <x v="11"/>
          <x v="10"/>
          <x v="4"/>
          <x v="0"/>
          <x v="5"/>
          <x v="11"/>
          <x v="3"/>
          <x v="6"/>
          <x v="8"/>
          <x v="3"/>
          <x v="4"/>
          <x v="11"/>
          <x v="9"/>
          <x v="1"/>
          <x v="9"/>
          <x v="2"/>
          <x v="1"/>
          <x v="8"/>
          <x v="9"/>
          <x v="5"/>
          <x v="5"/>
          <x v="1"/>
          <x v="2"/>
          <x v="8"/>
          <x v="2"/>
          <x v="6"/>
          <x v="10"/>
          <x v="4"/>
          <x v="3"/>
          <x v="0"/>
          <x v="2"/>
          <x v="5"/>
          <x v="1"/>
          <x v="2"/>
          <x v="9"/>
          <x v="2"/>
          <x v="5"/>
          <x v="9"/>
          <x v="0"/>
          <x v="11"/>
          <x v="6"/>
          <x v="10"/>
          <x v="11"/>
          <x v="5"/>
          <x v="8"/>
          <x v="8"/>
          <x v="1"/>
          <x v="2"/>
          <x v="7"/>
          <x v="9"/>
          <x v="2"/>
          <x v="10"/>
          <x v="11"/>
          <x v="5"/>
          <x v="0"/>
          <x v="6"/>
          <x v="6"/>
          <x v="0"/>
          <x v="7"/>
          <x v="8"/>
          <x v="7"/>
          <x v="6"/>
          <x v="5"/>
          <x v="9"/>
          <x v="3"/>
          <x v="4"/>
          <x v="7"/>
          <x v="2"/>
          <x v="0"/>
          <x v="1"/>
          <x v="7"/>
          <x v="9"/>
          <x v="10"/>
          <x v="3"/>
          <x v="0"/>
          <x v="6"/>
          <x v="3"/>
          <x v="2"/>
          <x v="0"/>
          <x v="0"/>
          <x v="0"/>
          <x v="8"/>
          <x v="11"/>
          <x v="8"/>
          <x v="2"/>
          <x v="1"/>
          <x v="5"/>
          <x v="3"/>
          <x v="1"/>
          <x v="0"/>
          <x v="6"/>
          <x v="8"/>
          <x v="9"/>
          <x v="4"/>
          <x v="1"/>
          <x v="5"/>
          <x v="7"/>
          <x v="1"/>
          <x v="8"/>
          <x v="7"/>
          <x v="1"/>
          <x v="4"/>
          <x v="8"/>
          <x v="6"/>
          <x v="10"/>
          <x v="11"/>
          <x v="2"/>
          <x v="0"/>
          <x v="8"/>
          <x v="9"/>
          <x v="11"/>
          <x v="9"/>
          <x v="5"/>
          <x v="11"/>
        </discretePr>
        <groupItems count="12">
          <s v="Group1"/>
          <s v="Group2"/>
          <s v="Group3"/>
          <s v="Group4"/>
          <s v="Group5"/>
          <s v="Group6"/>
          <s v="Group7"/>
          <s v="Group8"/>
          <s v="Group9"/>
          <s v="Group10"/>
          <s v="Group11"/>
          <s v="Group12"/>
        </groupItems>
      </fieldGroup>
    </cacheField>
  </cacheFields>
  <extLst>
    <ext xmlns:x14="http://schemas.microsoft.com/office/spreadsheetml/2009/9/main" uri="{725AE2AE-9491-48be-B2B4-4EB974FC3084}">
      <x14:pivotCacheDefinition pivotCacheId="719656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0001"/>
    <x v="0"/>
    <s v="Customer 57"/>
    <x v="0"/>
    <x v="0"/>
    <n v="3"/>
    <n v="150000"/>
    <x v="0"/>
    <x v="0"/>
    <n v="120000"/>
    <s v="Dell"/>
    <n v="450000"/>
    <n v="360000"/>
    <n v="90000"/>
    <n v="0.2"/>
  </r>
  <r>
    <s v="O0002"/>
    <x v="1"/>
    <s v="Customer 33"/>
    <x v="1"/>
    <x v="1"/>
    <n v="4"/>
    <n v="45000"/>
    <x v="1"/>
    <x v="0"/>
    <n v="35000"/>
    <s v="HP"/>
    <n v="180000"/>
    <n v="140000"/>
    <n v="40000"/>
    <n v="0.22222222222222221"/>
  </r>
  <r>
    <s v="O0003"/>
    <x v="2"/>
    <s v="Customer 36"/>
    <x v="2"/>
    <x v="2"/>
    <n v="2"/>
    <n v="2500"/>
    <x v="2"/>
    <x v="1"/>
    <n v="1500"/>
    <s v="Logitech"/>
    <n v="5000"/>
    <n v="3000"/>
    <n v="2000"/>
    <n v="0.4"/>
  </r>
  <r>
    <s v="O0004"/>
    <x v="3"/>
    <s v="Customer 32"/>
    <x v="3"/>
    <x v="2"/>
    <n v="5"/>
    <n v="2500"/>
    <x v="3"/>
    <x v="1"/>
    <n v="1500"/>
    <s v="Logitech"/>
    <n v="12500"/>
    <n v="7500"/>
    <n v="5000"/>
    <n v="0.4"/>
  </r>
  <r>
    <s v="O0005"/>
    <x v="4"/>
    <s v="Customer 24"/>
    <x v="4"/>
    <x v="3"/>
    <n v="3"/>
    <n v="2000"/>
    <x v="4"/>
    <x v="2"/>
    <n v="1200"/>
    <s v="SanDisk"/>
    <n v="6000"/>
    <n v="3600"/>
    <n v="2400"/>
    <n v="0.4"/>
  </r>
  <r>
    <s v="O0006"/>
    <x v="5"/>
    <s v="Customer 38"/>
    <x v="4"/>
    <x v="4"/>
    <n v="4"/>
    <n v="60000"/>
    <x v="5"/>
    <x v="0"/>
    <n v="50000"/>
    <s v="LG"/>
    <n v="240000"/>
    <n v="200000"/>
    <n v="40000"/>
    <n v="0.16666666666666666"/>
  </r>
  <r>
    <s v="O0007"/>
    <x v="6"/>
    <s v="Customer 92"/>
    <x v="5"/>
    <x v="1"/>
    <n v="2"/>
    <n v="45000"/>
    <x v="3"/>
    <x v="0"/>
    <n v="35000"/>
    <s v="HP"/>
    <n v="90000"/>
    <n v="70000"/>
    <n v="20000"/>
    <n v="0.22222222222222221"/>
  </r>
  <r>
    <s v="O0008"/>
    <x v="7"/>
    <s v="Customer 25"/>
    <x v="5"/>
    <x v="5"/>
    <n v="4"/>
    <n v="9500"/>
    <x v="6"/>
    <x v="1"/>
    <n v="7000"/>
    <s v="Logitech"/>
    <n v="38000"/>
    <n v="28000"/>
    <n v="10000"/>
    <n v="0.26315789473684209"/>
  </r>
  <r>
    <s v="O0009"/>
    <x v="8"/>
    <s v="Customer 31"/>
    <x v="5"/>
    <x v="6"/>
    <n v="2"/>
    <n v="7000"/>
    <x v="0"/>
    <x v="1"/>
    <n v="5000"/>
    <s v="Sony"/>
    <n v="14000"/>
    <n v="10000"/>
    <n v="4000"/>
    <n v="0.2857142857142857"/>
  </r>
  <r>
    <s v="O0010"/>
    <x v="9"/>
    <s v="Customer 53"/>
    <x v="1"/>
    <x v="2"/>
    <n v="1"/>
    <n v="2500"/>
    <x v="0"/>
    <x v="1"/>
    <n v="1500"/>
    <s v="Logitech"/>
    <n v="2500"/>
    <n v="1500"/>
    <n v="1000"/>
    <n v="0.4"/>
  </r>
  <r>
    <s v="O0011"/>
    <x v="10"/>
    <s v="Customer 61"/>
    <x v="0"/>
    <x v="6"/>
    <n v="1"/>
    <n v="7000"/>
    <x v="0"/>
    <x v="1"/>
    <n v="5000"/>
    <s v="Sony"/>
    <n v="7000"/>
    <n v="5000"/>
    <n v="2000"/>
    <n v="0.2857142857142857"/>
  </r>
  <r>
    <s v="O0012"/>
    <x v="11"/>
    <s v="Customer 12"/>
    <x v="1"/>
    <x v="6"/>
    <n v="2"/>
    <n v="7000"/>
    <x v="6"/>
    <x v="1"/>
    <n v="5000"/>
    <s v="Sony"/>
    <n v="14000"/>
    <n v="10000"/>
    <n v="4000"/>
    <n v="0.2857142857142857"/>
  </r>
  <r>
    <s v="O0013"/>
    <x v="12"/>
    <s v="Customer 24"/>
    <x v="5"/>
    <x v="1"/>
    <n v="5"/>
    <n v="45000"/>
    <x v="7"/>
    <x v="0"/>
    <n v="35000"/>
    <s v="HP"/>
    <n v="225000"/>
    <n v="175000"/>
    <n v="50000"/>
    <n v="0.22222222222222221"/>
  </r>
  <r>
    <s v="O0014"/>
    <x v="13"/>
    <s v="Customer 83"/>
    <x v="1"/>
    <x v="1"/>
    <n v="2"/>
    <n v="45000"/>
    <x v="1"/>
    <x v="0"/>
    <n v="35000"/>
    <s v="HP"/>
    <n v="90000"/>
    <n v="70000"/>
    <n v="20000"/>
    <n v="0.22222222222222221"/>
  </r>
  <r>
    <s v="O0015"/>
    <x v="14"/>
    <s v="Customer 16"/>
    <x v="3"/>
    <x v="5"/>
    <n v="1"/>
    <n v="9500"/>
    <x v="7"/>
    <x v="1"/>
    <n v="7000"/>
    <s v="Logitech"/>
    <n v="9500"/>
    <n v="7000"/>
    <n v="2500"/>
    <n v="0.26315789473684209"/>
  </r>
  <r>
    <s v="O0016"/>
    <x v="4"/>
    <s v="Customer 18"/>
    <x v="3"/>
    <x v="3"/>
    <n v="1"/>
    <n v="2000"/>
    <x v="3"/>
    <x v="2"/>
    <n v="1200"/>
    <s v="SanDisk"/>
    <n v="2000"/>
    <n v="1200"/>
    <n v="800"/>
    <n v="0.4"/>
  </r>
  <r>
    <s v="O0017"/>
    <x v="15"/>
    <s v="Customer 70"/>
    <x v="0"/>
    <x v="2"/>
    <n v="1"/>
    <n v="2500"/>
    <x v="5"/>
    <x v="1"/>
    <n v="1500"/>
    <s v="Logitech"/>
    <n v="2500"/>
    <n v="1500"/>
    <n v="1000"/>
    <n v="0.4"/>
  </r>
  <r>
    <s v="O0018"/>
    <x v="16"/>
    <s v="Customer 90"/>
    <x v="0"/>
    <x v="3"/>
    <n v="1"/>
    <n v="2000"/>
    <x v="6"/>
    <x v="2"/>
    <n v="1200"/>
    <s v="SanDisk"/>
    <n v="2000"/>
    <n v="1200"/>
    <n v="800"/>
    <n v="0.4"/>
  </r>
  <r>
    <s v="O0019"/>
    <x v="17"/>
    <s v="Customer 68"/>
    <x v="5"/>
    <x v="3"/>
    <n v="1"/>
    <n v="2000"/>
    <x v="0"/>
    <x v="2"/>
    <n v="1200"/>
    <s v="SanDisk"/>
    <n v="2000"/>
    <n v="1200"/>
    <n v="800"/>
    <n v="0.4"/>
  </r>
  <r>
    <s v="O0020"/>
    <x v="18"/>
    <s v="Customer 18"/>
    <x v="3"/>
    <x v="1"/>
    <n v="5"/>
    <n v="45000"/>
    <x v="6"/>
    <x v="0"/>
    <n v="35000"/>
    <s v="HP"/>
    <n v="225000"/>
    <n v="175000"/>
    <n v="50000"/>
    <n v="0.22222222222222221"/>
  </r>
  <r>
    <s v="O0021"/>
    <x v="19"/>
    <s v="Customer 98"/>
    <x v="4"/>
    <x v="4"/>
    <n v="1"/>
    <n v="60000"/>
    <x v="0"/>
    <x v="0"/>
    <n v="50000"/>
    <s v="LG"/>
    <n v="60000"/>
    <n v="50000"/>
    <n v="10000"/>
    <n v="0.16666666666666666"/>
  </r>
  <r>
    <s v="O0022"/>
    <x v="20"/>
    <s v="Customer 56"/>
    <x v="2"/>
    <x v="3"/>
    <n v="2"/>
    <n v="2000"/>
    <x v="4"/>
    <x v="2"/>
    <n v="1200"/>
    <s v="SanDisk"/>
    <n v="4000"/>
    <n v="2400"/>
    <n v="1600"/>
    <n v="0.4"/>
  </r>
  <r>
    <s v="O0023"/>
    <x v="21"/>
    <s v="Customer 44"/>
    <x v="2"/>
    <x v="0"/>
    <n v="4"/>
    <n v="150000"/>
    <x v="8"/>
    <x v="0"/>
    <n v="120000"/>
    <s v="Dell"/>
    <n v="600000"/>
    <n v="480000"/>
    <n v="120000"/>
    <n v="0.2"/>
  </r>
  <r>
    <s v="O0024"/>
    <x v="22"/>
    <s v="Customer 41"/>
    <x v="3"/>
    <x v="7"/>
    <n v="5"/>
    <n v="5000"/>
    <x v="1"/>
    <x v="1"/>
    <n v="3500"/>
    <s v="Logitech"/>
    <n v="25000"/>
    <n v="17500"/>
    <n v="7500"/>
    <n v="0.3"/>
  </r>
  <r>
    <s v="O0025"/>
    <x v="18"/>
    <s v="Customer 46"/>
    <x v="4"/>
    <x v="7"/>
    <n v="1"/>
    <n v="5000"/>
    <x v="0"/>
    <x v="1"/>
    <n v="3500"/>
    <s v="Logitech"/>
    <n v="5000"/>
    <n v="3500"/>
    <n v="1500"/>
    <n v="0.3"/>
  </r>
  <r>
    <s v="O0026"/>
    <x v="23"/>
    <s v="Customer 69"/>
    <x v="1"/>
    <x v="3"/>
    <n v="3"/>
    <n v="2000"/>
    <x v="8"/>
    <x v="2"/>
    <n v="1200"/>
    <s v="SanDisk"/>
    <n v="6000"/>
    <n v="3600"/>
    <n v="2400"/>
    <n v="0.4"/>
  </r>
  <r>
    <s v="O0027"/>
    <x v="24"/>
    <s v="Customer 75"/>
    <x v="2"/>
    <x v="5"/>
    <n v="2"/>
    <n v="9500"/>
    <x v="3"/>
    <x v="1"/>
    <n v="7000"/>
    <s v="Logitech"/>
    <n v="19000"/>
    <n v="14000"/>
    <n v="5000"/>
    <n v="0.26315789473684209"/>
  </r>
  <r>
    <s v="O0028"/>
    <x v="25"/>
    <s v="Customer 86"/>
    <x v="6"/>
    <x v="7"/>
    <n v="1"/>
    <n v="5000"/>
    <x v="3"/>
    <x v="1"/>
    <n v="3500"/>
    <s v="Logitech"/>
    <n v="5000"/>
    <n v="3500"/>
    <n v="1500"/>
    <n v="0.3"/>
  </r>
  <r>
    <s v="O0029"/>
    <x v="26"/>
    <s v="Customer 95"/>
    <x v="7"/>
    <x v="0"/>
    <n v="5"/>
    <n v="150000"/>
    <x v="9"/>
    <x v="0"/>
    <n v="120000"/>
    <s v="Dell"/>
    <n v="750000"/>
    <n v="600000"/>
    <n v="150000"/>
    <n v="0.2"/>
  </r>
  <r>
    <s v="O0030"/>
    <x v="27"/>
    <s v="Customer 71"/>
    <x v="5"/>
    <x v="7"/>
    <n v="3"/>
    <n v="5000"/>
    <x v="2"/>
    <x v="1"/>
    <n v="3500"/>
    <s v="Logitech"/>
    <n v="15000"/>
    <n v="10500"/>
    <n v="4500"/>
    <n v="0.3"/>
  </r>
  <r>
    <s v="O0031"/>
    <x v="28"/>
    <s v="Customer 86"/>
    <x v="4"/>
    <x v="0"/>
    <n v="3"/>
    <n v="150000"/>
    <x v="7"/>
    <x v="0"/>
    <n v="120000"/>
    <s v="Dell"/>
    <n v="450000"/>
    <n v="360000"/>
    <n v="90000"/>
    <n v="0.2"/>
  </r>
  <r>
    <s v="O0032"/>
    <x v="29"/>
    <s v="Customer 31"/>
    <x v="5"/>
    <x v="8"/>
    <n v="3"/>
    <n v="18000"/>
    <x v="4"/>
    <x v="2"/>
    <n v="12000"/>
    <s v="Kingston"/>
    <n v="54000"/>
    <n v="36000"/>
    <n v="18000"/>
    <n v="0.33333333333333331"/>
  </r>
  <r>
    <s v="O0033"/>
    <x v="30"/>
    <s v="Customer 10"/>
    <x v="2"/>
    <x v="2"/>
    <n v="1"/>
    <n v="2500"/>
    <x v="1"/>
    <x v="1"/>
    <n v="1500"/>
    <s v="Logitech"/>
    <n v="2500"/>
    <n v="1500"/>
    <n v="1000"/>
    <n v="0.4"/>
  </r>
  <r>
    <s v="O0034"/>
    <x v="31"/>
    <s v="Customer 18"/>
    <x v="2"/>
    <x v="8"/>
    <n v="2"/>
    <n v="18000"/>
    <x v="5"/>
    <x v="2"/>
    <n v="12000"/>
    <s v="Kingston"/>
    <n v="36000"/>
    <n v="24000"/>
    <n v="12000"/>
    <n v="0.33333333333333331"/>
  </r>
  <r>
    <s v="O0035"/>
    <x v="32"/>
    <s v="Customer 98"/>
    <x v="5"/>
    <x v="2"/>
    <n v="2"/>
    <n v="2500"/>
    <x v="3"/>
    <x v="1"/>
    <n v="1500"/>
    <s v="Logitech"/>
    <n v="5000"/>
    <n v="3000"/>
    <n v="2000"/>
    <n v="0.4"/>
  </r>
  <r>
    <s v="O0036"/>
    <x v="33"/>
    <s v="Customer 72"/>
    <x v="3"/>
    <x v="0"/>
    <n v="5"/>
    <n v="150000"/>
    <x v="9"/>
    <x v="0"/>
    <n v="120000"/>
    <s v="Dell"/>
    <n v="750000"/>
    <n v="600000"/>
    <n v="150000"/>
    <n v="0.2"/>
  </r>
  <r>
    <s v="O0037"/>
    <x v="34"/>
    <s v="Customer 9"/>
    <x v="3"/>
    <x v="5"/>
    <n v="5"/>
    <n v="9500"/>
    <x v="6"/>
    <x v="1"/>
    <n v="7000"/>
    <s v="Logitech"/>
    <n v="47500"/>
    <n v="35000"/>
    <n v="12500"/>
    <n v="0.26315789473684209"/>
  </r>
  <r>
    <s v="O0038"/>
    <x v="35"/>
    <s v="Customer 73"/>
    <x v="4"/>
    <x v="7"/>
    <n v="3"/>
    <n v="5000"/>
    <x v="7"/>
    <x v="1"/>
    <n v="3500"/>
    <s v="Logitech"/>
    <n v="15000"/>
    <n v="10500"/>
    <n v="4500"/>
    <n v="0.3"/>
  </r>
  <r>
    <s v="O0039"/>
    <x v="36"/>
    <s v="Customer 60"/>
    <x v="0"/>
    <x v="6"/>
    <n v="4"/>
    <n v="7000"/>
    <x v="6"/>
    <x v="1"/>
    <n v="5000"/>
    <s v="Sony"/>
    <n v="28000"/>
    <n v="20000"/>
    <n v="8000"/>
    <n v="0.2857142857142857"/>
  </r>
  <r>
    <s v="O0040"/>
    <x v="37"/>
    <s v="Customer 33"/>
    <x v="5"/>
    <x v="0"/>
    <n v="2"/>
    <n v="150000"/>
    <x v="8"/>
    <x v="0"/>
    <n v="120000"/>
    <s v="Dell"/>
    <n v="300000"/>
    <n v="240000"/>
    <n v="60000"/>
    <n v="0.2"/>
  </r>
  <r>
    <s v="O0041"/>
    <x v="7"/>
    <s v="Customer 67"/>
    <x v="0"/>
    <x v="8"/>
    <n v="1"/>
    <n v="18000"/>
    <x v="8"/>
    <x v="2"/>
    <n v="12000"/>
    <s v="Kingston"/>
    <n v="18000"/>
    <n v="12000"/>
    <n v="6000"/>
    <n v="0.33333333333333331"/>
  </r>
  <r>
    <s v="O0042"/>
    <x v="38"/>
    <s v="Customer 71"/>
    <x v="3"/>
    <x v="8"/>
    <n v="2"/>
    <n v="18000"/>
    <x v="3"/>
    <x v="2"/>
    <n v="12000"/>
    <s v="Kingston"/>
    <n v="36000"/>
    <n v="24000"/>
    <n v="12000"/>
    <n v="0.33333333333333331"/>
  </r>
  <r>
    <s v="O0043"/>
    <x v="39"/>
    <s v="Customer 30"/>
    <x v="1"/>
    <x v="5"/>
    <n v="2"/>
    <n v="9500"/>
    <x v="2"/>
    <x v="1"/>
    <n v="7000"/>
    <s v="Logitech"/>
    <n v="19000"/>
    <n v="14000"/>
    <n v="5000"/>
    <n v="0.26315789473684209"/>
  </r>
  <r>
    <s v="O0044"/>
    <x v="11"/>
    <s v="Customer 57"/>
    <x v="4"/>
    <x v="6"/>
    <n v="4"/>
    <n v="7000"/>
    <x v="7"/>
    <x v="1"/>
    <n v="5000"/>
    <s v="Sony"/>
    <n v="28000"/>
    <n v="20000"/>
    <n v="8000"/>
    <n v="0.2857142857142857"/>
  </r>
  <r>
    <s v="O0045"/>
    <x v="40"/>
    <s v="Customer 28"/>
    <x v="7"/>
    <x v="7"/>
    <n v="1"/>
    <n v="5000"/>
    <x v="6"/>
    <x v="1"/>
    <n v="3500"/>
    <s v="Logitech"/>
    <n v="5000"/>
    <n v="3500"/>
    <n v="1500"/>
    <n v="0.3"/>
  </r>
  <r>
    <s v="O0046"/>
    <x v="41"/>
    <s v="Customer 52"/>
    <x v="3"/>
    <x v="4"/>
    <n v="1"/>
    <n v="60000"/>
    <x v="5"/>
    <x v="0"/>
    <n v="50000"/>
    <s v="LG"/>
    <n v="60000"/>
    <n v="50000"/>
    <n v="10000"/>
    <n v="0.16666666666666666"/>
  </r>
  <r>
    <s v="O0047"/>
    <x v="42"/>
    <s v="Customer 87"/>
    <x v="5"/>
    <x v="8"/>
    <n v="5"/>
    <n v="18000"/>
    <x v="7"/>
    <x v="2"/>
    <n v="12000"/>
    <s v="Kingston"/>
    <n v="90000"/>
    <n v="60000"/>
    <n v="30000"/>
    <n v="0.33333333333333331"/>
  </r>
  <r>
    <s v="O0048"/>
    <x v="43"/>
    <s v="Customer 69"/>
    <x v="4"/>
    <x v="7"/>
    <n v="3"/>
    <n v="5000"/>
    <x v="9"/>
    <x v="1"/>
    <n v="3500"/>
    <s v="Logitech"/>
    <n v="15000"/>
    <n v="10500"/>
    <n v="4500"/>
    <n v="0.3"/>
  </r>
  <r>
    <s v="O0049"/>
    <x v="44"/>
    <s v="Customer 78"/>
    <x v="6"/>
    <x v="3"/>
    <n v="2"/>
    <n v="2000"/>
    <x v="4"/>
    <x v="2"/>
    <n v="1200"/>
    <s v="SanDisk"/>
    <n v="4000"/>
    <n v="2400"/>
    <n v="1600"/>
    <n v="0.4"/>
  </r>
  <r>
    <s v="O0050"/>
    <x v="45"/>
    <s v="Customer 34"/>
    <x v="4"/>
    <x v="4"/>
    <n v="3"/>
    <n v="60000"/>
    <x v="6"/>
    <x v="0"/>
    <n v="50000"/>
    <s v="LG"/>
    <n v="180000"/>
    <n v="150000"/>
    <n v="30000"/>
    <n v="0.16666666666666666"/>
  </r>
  <r>
    <s v="O0051"/>
    <x v="46"/>
    <s v="Customer 99"/>
    <x v="4"/>
    <x v="3"/>
    <n v="2"/>
    <n v="2000"/>
    <x v="6"/>
    <x v="2"/>
    <n v="1200"/>
    <s v="SanDisk"/>
    <n v="4000"/>
    <n v="2400"/>
    <n v="1600"/>
    <n v="0.4"/>
  </r>
  <r>
    <s v="O0052"/>
    <x v="47"/>
    <s v="Customer 26"/>
    <x v="1"/>
    <x v="8"/>
    <n v="4"/>
    <n v="18000"/>
    <x v="4"/>
    <x v="2"/>
    <n v="12000"/>
    <s v="Kingston"/>
    <n v="72000"/>
    <n v="48000"/>
    <n v="24000"/>
    <n v="0.33333333333333331"/>
  </r>
  <r>
    <s v="O0053"/>
    <x v="48"/>
    <s v="Customer 10"/>
    <x v="0"/>
    <x v="9"/>
    <n v="1"/>
    <n v="80000"/>
    <x v="8"/>
    <x v="0"/>
    <n v="65000"/>
    <s v="Samsung"/>
    <n v="80000"/>
    <n v="65000"/>
    <n v="15000"/>
    <n v="0.1875"/>
  </r>
  <r>
    <s v="O0054"/>
    <x v="26"/>
    <s v="Customer 46"/>
    <x v="2"/>
    <x v="3"/>
    <n v="4"/>
    <n v="2000"/>
    <x v="6"/>
    <x v="2"/>
    <n v="1200"/>
    <s v="SanDisk"/>
    <n v="8000"/>
    <n v="4800"/>
    <n v="3200"/>
    <n v="0.4"/>
  </r>
  <r>
    <s v="O0055"/>
    <x v="49"/>
    <s v="Customer 57"/>
    <x v="0"/>
    <x v="5"/>
    <n v="2"/>
    <n v="9500"/>
    <x v="1"/>
    <x v="1"/>
    <n v="7000"/>
    <s v="Logitech"/>
    <n v="19000"/>
    <n v="14000"/>
    <n v="5000"/>
    <n v="0.26315789473684209"/>
  </r>
  <r>
    <s v="O0056"/>
    <x v="50"/>
    <s v="Customer 26"/>
    <x v="2"/>
    <x v="4"/>
    <n v="4"/>
    <n v="60000"/>
    <x v="0"/>
    <x v="0"/>
    <n v="50000"/>
    <s v="LG"/>
    <n v="240000"/>
    <n v="200000"/>
    <n v="40000"/>
    <n v="0.16666666666666666"/>
  </r>
  <r>
    <s v="O0057"/>
    <x v="17"/>
    <s v="Customer 66"/>
    <x v="2"/>
    <x v="0"/>
    <n v="1"/>
    <n v="150000"/>
    <x v="9"/>
    <x v="0"/>
    <n v="120000"/>
    <s v="Dell"/>
    <n v="150000"/>
    <n v="120000"/>
    <n v="30000"/>
    <n v="0.2"/>
  </r>
  <r>
    <s v="O0058"/>
    <x v="51"/>
    <s v="Customer 27"/>
    <x v="5"/>
    <x v="3"/>
    <n v="3"/>
    <n v="2000"/>
    <x v="6"/>
    <x v="2"/>
    <n v="1200"/>
    <s v="SanDisk"/>
    <n v="6000"/>
    <n v="3600"/>
    <n v="2400"/>
    <n v="0.4"/>
  </r>
  <r>
    <s v="O0059"/>
    <x v="52"/>
    <s v="Customer 27"/>
    <x v="7"/>
    <x v="9"/>
    <n v="1"/>
    <n v="80000"/>
    <x v="5"/>
    <x v="0"/>
    <n v="65000"/>
    <s v="Samsung"/>
    <n v="80000"/>
    <n v="65000"/>
    <n v="15000"/>
    <n v="0.1875"/>
  </r>
  <r>
    <s v="O0060"/>
    <x v="53"/>
    <s v="Customer 21"/>
    <x v="2"/>
    <x v="1"/>
    <n v="5"/>
    <n v="45000"/>
    <x v="7"/>
    <x v="0"/>
    <n v="35000"/>
    <s v="HP"/>
    <n v="225000"/>
    <n v="175000"/>
    <n v="50000"/>
    <n v="0.22222222222222221"/>
  </r>
  <r>
    <s v="O0061"/>
    <x v="54"/>
    <s v="Customer 21"/>
    <x v="2"/>
    <x v="8"/>
    <n v="3"/>
    <n v="18000"/>
    <x v="4"/>
    <x v="2"/>
    <n v="12000"/>
    <s v="Kingston"/>
    <n v="54000"/>
    <n v="36000"/>
    <n v="18000"/>
    <n v="0.33333333333333331"/>
  </r>
  <r>
    <s v="O0062"/>
    <x v="55"/>
    <s v="Customer 46"/>
    <x v="0"/>
    <x v="9"/>
    <n v="2"/>
    <n v="80000"/>
    <x v="3"/>
    <x v="0"/>
    <n v="65000"/>
    <s v="Samsung"/>
    <n v="160000"/>
    <n v="130000"/>
    <n v="30000"/>
    <n v="0.1875"/>
  </r>
  <r>
    <s v="O0063"/>
    <x v="56"/>
    <s v="Customer 63"/>
    <x v="4"/>
    <x v="7"/>
    <n v="3"/>
    <n v="5000"/>
    <x v="4"/>
    <x v="1"/>
    <n v="3500"/>
    <s v="Logitech"/>
    <n v="15000"/>
    <n v="10500"/>
    <n v="4500"/>
    <n v="0.3"/>
  </r>
  <r>
    <s v="O0064"/>
    <x v="54"/>
    <s v="Customer 33"/>
    <x v="6"/>
    <x v="3"/>
    <n v="4"/>
    <n v="2000"/>
    <x v="3"/>
    <x v="2"/>
    <n v="1200"/>
    <s v="SanDisk"/>
    <n v="8000"/>
    <n v="4800"/>
    <n v="3200"/>
    <n v="0.4"/>
  </r>
  <r>
    <s v="O0065"/>
    <x v="57"/>
    <s v="Customer 70"/>
    <x v="4"/>
    <x v="6"/>
    <n v="5"/>
    <n v="7000"/>
    <x v="4"/>
    <x v="1"/>
    <n v="5000"/>
    <s v="Sony"/>
    <n v="35000"/>
    <n v="25000"/>
    <n v="10000"/>
    <n v="0.2857142857142857"/>
  </r>
  <r>
    <s v="O0066"/>
    <x v="58"/>
    <s v="Customer 68"/>
    <x v="1"/>
    <x v="4"/>
    <n v="5"/>
    <n v="60000"/>
    <x v="9"/>
    <x v="0"/>
    <n v="50000"/>
    <s v="LG"/>
    <n v="300000"/>
    <n v="250000"/>
    <n v="50000"/>
    <n v="0.16666666666666666"/>
  </r>
  <r>
    <s v="O0067"/>
    <x v="59"/>
    <s v="Customer 43"/>
    <x v="7"/>
    <x v="8"/>
    <n v="1"/>
    <n v="18000"/>
    <x v="5"/>
    <x v="2"/>
    <n v="12000"/>
    <s v="Kingston"/>
    <n v="18000"/>
    <n v="12000"/>
    <n v="6000"/>
    <n v="0.33333333333333331"/>
  </r>
  <r>
    <s v="O0068"/>
    <x v="60"/>
    <s v="Customer 1"/>
    <x v="2"/>
    <x v="3"/>
    <n v="1"/>
    <n v="2000"/>
    <x v="1"/>
    <x v="2"/>
    <n v="1200"/>
    <s v="SanDisk"/>
    <n v="2000"/>
    <n v="1200"/>
    <n v="800"/>
    <n v="0.4"/>
  </r>
  <r>
    <s v="O0069"/>
    <x v="61"/>
    <s v="Customer 21"/>
    <x v="1"/>
    <x v="0"/>
    <n v="4"/>
    <n v="150000"/>
    <x v="7"/>
    <x v="0"/>
    <n v="120000"/>
    <s v="Dell"/>
    <n v="600000"/>
    <n v="480000"/>
    <n v="120000"/>
    <n v="0.2"/>
  </r>
  <r>
    <s v="O0070"/>
    <x v="62"/>
    <s v="Customer 69"/>
    <x v="1"/>
    <x v="7"/>
    <n v="5"/>
    <n v="5000"/>
    <x v="8"/>
    <x v="1"/>
    <n v="3500"/>
    <s v="Logitech"/>
    <n v="25000"/>
    <n v="17500"/>
    <n v="7500"/>
    <n v="0.3"/>
  </r>
  <r>
    <s v="O0071"/>
    <x v="63"/>
    <s v="Customer 46"/>
    <x v="1"/>
    <x v="6"/>
    <n v="2"/>
    <n v="7000"/>
    <x v="5"/>
    <x v="1"/>
    <n v="5000"/>
    <s v="Sony"/>
    <n v="14000"/>
    <n v="10000"/>
    <n v="4000"/>
    <n v="0.2857142857142857"/>
  </r>
  <r>
    <s v="O0072"/>
    <x v="64"/>
    <s v="Customer 31"/>
    <x v="0"/>
    <x v="2"/>
    <n v="1"/>
    <n v="2500"/>
    <x v="7"/>
    <x v="1"/>
    <n v="1500"/>
    <s v="Logitech"/>
    <n v="2500"/>
    <n v="1500"/>
    <n v="1000"/>
    <n v="0.4"/>
  </r>
  <r>
    <s v="O0073"/>
    <x v="32"/>
    <s v="Customer 99"/>
    <x v="4"/>
    <x v="9"/>
    <n v="5"/>
    <n v="80000"/>
    <x v="5"/>
    <x v="0"/>
    <n v="65000"/>
    <s v="Samsung"/>
    <n v="400000"/>
    <n v="325000"/>
    <n v="75000"/>
    <n v="0.1875"/>
  </r>
  <r>
    <s v="O0074"/>
    <x v="65"/>
    <s v="Customer 69"/>
    <x v="1"/>
    <x v="8"/>
    <n v="4"/>
    <n v="18000"/>
    <x v="3"/>
    <x v="2"/>
    <n v="12000"/>
    <s v="Kingston"/>
    <n v="72000"/>
    <n v="48000"/>
    <n v="24000"/>
    <n v="0.33333333333333331"/>
  </r>
  <r>
    <s v="O0075"/>
    <x v="66"/>
    <s v="Customer 79"/>
    <x v="4"/>
    <x v="8"/>
    <n v="5"/>
    <n v="18000"/>
    <x v="5"/>
    <x v="2"/>
    <n v="12000"/>
    <s v="Kingston"/>
    <n v="90000"/>
    <n v="60000"/>
    <n v="30000"/>
    <n v="0.33333333333333331"/>
  </r>
  <r>
    <s v="O0076"/>
    <x v="44"/>
    <s v="Customer 33"/>
    <x v="6"/>
    <x v="8"/>
    <n v="1"/>
    <n v="18000"/>
    <x v="5"/>
    <x v="2"/>
    <n v="12000"/>
    <s v="Kingston"/>
    <n v="18000"/>
    <n v="12000"/>
    <n v="6000"/>
    <n v="0.33333333333333331"/>
  </r>
  <r>
    <s v="O0077"/>
    <x v="67"/>
    <s v="Customer 91"/>
    <x v="1"/>
    <x v="1"/>
    <n v="4"/>
    <n v="45000"/>
    <x v="1"/>
    <x v="0"/>
    <n v="35000"/>
    <s v="HP"/>
    <n v="180000"/>
    <n v="140000"/>
    <n v="40000"/>
    <n v="0.22222222222222221"/>
  </r>
  <r>
    <s v="O0078"/>
    <x v="68"/>
    <s v="Customer 6"/>
    <x v="3"/>
    <x v="5"/>
    <n v="3"/>
    <n v="9500"/>
    <x v="6"/>
    <x v="1"/>
    <n v="7000"/>
    <s v="Logitech"/>
    <n v="28500"/>
    <n v="21000"/>
    <n v="7500"/>
    <n v="0.26315789473684209"/>
  </r>
  <r>
    <s v="O0079"/>
    <x v="69"/>
    <s v="Customer 24"/>
    <x v="7"/>
    <x v="8"/>
    <n v="1"/>
    <n v="18000"/>
    <x v="5"/>
    <x v="2"/>
    <n v="12000"/>
    <s v="Kingston"/>
    <n v="18000"/>
    <n v="12000"/>
    <n v="6000"/>
    <n v="0.33333333333333331"/>
  </r>
  <r>
    <s v="O0080"/>
    <x v="70"/>
    <s v="Customer 53"/>
    <x v="2"/>
    <x v="8"/>
    <n v="3"/>
    <n v="18000"/>
    <x v="8"/>
    <x v="2"/>
    <n v="12000"/>
    <s v="Kingston"/>
    <n v="54000"/>
    <n v="36000"/>
    <n v="18000"/>
    <n v="0.33333333333333331"/>
  </r>
  <r>
    <s v="O0081"/>
    <x v="71"/>
    <s v="Customer 6"/>
    <x v="1"/>
    <x v="1"/>
    <n v="3"/>
    <n v="45000"/>
    <x v="2"/>
    <x v="0"/>
    <n v="35000"/>
    <s v="HP"/>
    <n v="135000"/>
    <n v="105000"/>
    <n v="30000"/>
    <n v="0.22222222222222221"/>
  </r>
  <r>
    <s v="O0082"/>
    <x v="72"/>
    <s v="Customer 90"/>
    <x v="7"/>
    <x v="8"/>
    <n v="5"/>
    <n v="18000"/>
    <x v="7"/>
    <x v="2"/>
    <n v="12000"/>
    <s v="Kingston"/>
    <n v="90000"/>
    <n v="60000"/>
    <n v="30000"/>
    <n v="0.33333333333333331"/>
  </r>
  <r>
    <s v="O0083"/>
    <x v="73"/>
    <s v="Customer 33"/>
    <x v="3"/>
    <x v="2"/>
    <n v="4"/>
    <n v="2500"/>
    <x v="9"/>
    <x v="1"/>
    <n v="1500"/>
    <s v="Logitech"/>
    <n v="10000"/>
    <n v="6000"/>
    <n v="4000"/>
    <n v="0.4"/>
  </r>
  <r>
    <s v="O0084"/>
    <x v="74"/>
    <s v="Customer 9"/>
    <x v="5"/>
    <x v="2"/>
    <n v="1"/>
    <n v="2500"/>
    <x v="9"/>
    <x v="1"/>
    <n v="1500"/>
    <s v="Logitech"/>
    <n v="2500"/>
    <n v="1500"/>
    <n v="1000"/>
    <n v="0.4"/>
  </r>
  <r>
    <s v="O0085"/>
    <x v="40"/>
    <s v="Customer 14"/>
    <x v="1"/>
    <x v="9"/>
    <n v="4"/>
    <n v="80000"/>
    <x v="5"/>
    <x v="0"/>
    <n v="65000"/>
    <s v="Samsung"/>
    <n v="320000"/>
    <n v="260000"/>
    <n v="60000"/>
    <n v="0.1875"/>
  </r>
  <r>
    <s v="O0086"/>
    <x v="75"/>
    <s v="Customer 92"/>
    <x v="2"/>
    <x v="0"/>
    <n v="3"/>
    <n v="150000"/>
    <x v="1"/>
    <x v="0"/>
    <n v="120000"/>
    <s v="Dell"/>
    <n v="450000"/>
    <n v="360000"/>
    <n v="90000"/>
    <n v="0.2"/>
  </r>
  <r>
    <s v="O0087"/>
    <x v="76"/>
    <s v="Customer 90"/>
    <x v="7"/>
    <x v="3"/>
    <n v="4"/>
    <n v="2000"/>
    <x v="5"/>
    <x v="2"/>
    <n v="1200"/>
    <s v="SanDisk"/>
    <n v="8000"/>
    <n v="4800"/>
    <n v="3200"/>
    <n v="0.4"/>
  </r>
  <r>
    <s v="O0088"/>
    <x v="77"/>
    <s v="Customer 48"/>
    <x v="6"/>
    <x v="1"/>
    <n v="3"/>
    <n v="45000"/>
    <x v="5"/>
    <x v="0"/>
    <n v="35000"/>
    <s v="HP"/>
    <n v="135000"/>
    <n v="105000"/>
    <n v="30000"/>
    <n v="0.22222222222222221"/>
  </r>
  <r>
    <s v="O0089"/>
    <x v="42"/>
    <s v="Customer 90"/>
    <x v="0"/>
    <x v="2"/>
    <n v="4"/>
    <n v="2500"/>
    <x v="2"/>
    <x v="1"/>
    <n v="1500"/>
    <s v="Logitech"/>
    <n v="10000"/>
    <n v="6000"/>
    <n v="4000"/>
    <n v="0.4"/>
  </r>
  <r>
    <s v="O0090"/>
    <x v="78"/>
    <s v="Customer 26"/>
    <x v="3"/>
    <x v="5"/>
    <n v="4"/>
    <n v="9500"/>
    <x v="5"/>
    <x v="1"/>
    <n v="7000"/>
    <s v="Logitech"/>
    <n v="38000"/>
    <n v="28000"/>
    <n v="10000"/>
    <n v="0.26315789473684209"/>
  </r>
  <r>
    <s v="O0091"/>
    <x v="79"/>
    <s v="Customer 86"/>
    <x v="6"/>
    <x v="3"/>
    <n v="4"/>
    <n v="2000"/>
    <x v="4"/>
    <x v="2"/>
    <n v="1200"/>
    <s v="SanDisk"/>
    <n v="8000"/>
    <n v="4800"/>
    <n v="3200"/>
    <n v="0.4"/>
  </r>
  <r>
    <s v="O0092"/>
    <x v="18"/>
    <s v="Customer 36"/>
    <x v="4"/>
    <x v="8"/>
    <n v="1"/>
    <n v="18000"/>
    <x v="1"/>
    <x v="2"/>
    <n v="12000"/>
    <s v="Kingston"/>
    <n v="18000"/>
    <n v="12000"/>
    <n v="6000"/>
    <n v="0.33333333333333331"/>
  </r>
  <r>
    <s v="O0093"/>
    <x v="80"/>
    <s v="Customer 94"/>
    <x v="7"/>
    <x v="3"/>
    <n v="4"/>
    <n v="2000"/>
    <x v="0"/>
    <x v="2"/>
    <n v="1200"/>
    <s v="SanDisk"/>
    <n v="8000"/>
    <n v="4800"/>
    <n v="3200"/>
    <n v="0.4"/>
  </r>
  <r>
    <s v="O0094"/>
    <x v="81"/>
    <s v="Customer 75"/>
    <x v="1"/>
    <x v="1"/>
    <n v="1"/>
    <n v="45000"/>
    <x v="4"/>
    <x v="0"/>
    <n v="35000"/>
    <s v="HP"/>
    <n v="45000"/>
    <n v="35000"/>
    <n v="10000"/>
    <n v="0.22222222222222221"/>
  </r>
  <r>
    <s v="O0095"/>
    <x v="82"/>
    <s v="Customer 6"/>
    <x v="5"/>
    <x v="3"/>
    <n v="4"/>
    <n v="2000"/>
    <x v="6"/>
    <x v="2"/>
    <n v="1200"/>
    <s v="SanDisk"/>
    <n v="8000"/>
    <n v="4800"/>
    <n v="3200"/>
    <n v="0.4"/>
  </r>
  <r>
    <s v="O0096"/>
    <x v="30"/>
    <s v="Customer 87"/>
    <x v="3"/>
    <x v="8"/>
    <n v="4"/>
    <n v="18000"/>
    <x v="1"/>
    <x v="2"/>
    <n v="12000"/>
    <s v="Kingston"/>
    <n v="72000"/>
    <n v="48000"/>
    <n v="24000"/>
    <n v="0.33333333333333331"/>
  </r>
  <r>
    <s v="O0097"/>
    <x v="83"/>
    <s v="Customer 28"/>
    <x v="5"/>
    <x v="7"/>
    <n v="1"/>
    <n v="5000"/>
    <x v="2"/>
    <x v="1"/>
    <n v="3500"/>
    <s v="Logitech"/>
    <n v="5000"/>
    <n v="3500"/>
    <n v="1500"/>
    <n v="0.3"/>
  </r>
  <r>
    <s v="O0098"/>
    <x v="39"/>
    <s v="Customer 10"/>
    <x v="0"/>
    <x v="8"/>
    <n v="3"/>
    <n v="18000"/>
    <x v="8"/>
    <x v="2"/>
    <n v="12000"/>
    <s v="Kingston"/>
    <n v="54000"/>
    <n v="36000"/>
    <n v="18000"/>
    <n v="0.33333333333333331"/>
  </r>
  <r>
    <s v="O0099"/>
    <x v="84"/>
    <s v="Customer 91"/>
    <x v="1"/>
    <x v="1"/>
    <n v="2"/>
    <n v="45000"/>
    <x v="3"/>
    <x v="0"/>
    <n v="35000"/>
    <s v="HP"/>
    <n v="90000"/>
    <n v="70000"/>
    <n v="20000"/>
    <n v="0.22222222222222221"/>
  </r>
  <r>
    <s v="O0100"/>
    <x v="85"/>
    <s v="Customer 30"/>
    <x v="6"/>
    <x v="9"/>
    <n v="3"/>
    <n v="80000"/>
    <x v="2"/>
    <x v="0"/>
    <n v="65000"/>
    <s v="Samsung"/>
    <n v="240000"/>
    <n v="195000"/>
    <n v="45000"/>
    <n v="0.1875"/>
  </r>
  <r>
    <s v="O0101"/>
    <x v="83"/>
    <s v="Customer 90"/>
    <x v="0"/>
    <x v="6"/>
    <n v="5"/>
    <n v="7000"/>
    <x v="9"/>
    <x v="1"/>
    <n v="5000"/>
    <s v="Sony"/>
    <n v="35000"/>
    <n v="25000"/>
    <n v="10000"/>
    <n v="0.2857142857142857"/>
  </r>
  <r>
    <s v="O0102"/>
    <x v="86"/>
    <s v="Customer 57"/>
    <x v="3"/>
    <x v="4"/>
    <n v="2"/>
    <n v="60000"/>
    <x v="3"/>
    <x v="0"/>
    <n v="50000"/>
    <s v="LG"/>
    <n v="120000"/>
    <n v="100000"/>
    <n v="20000"/>
    <n v="0.16666666666666666"/>
  </r>
  <r>
    <s v="O0103"/>
    <x v="87"/>
    <s v="Customer 36"/>
    <x v="2"/>
    <x v="7"/>
    <n v="5"/>
    <n v="5000"/>
    <x v="3"/>
    <x v="1"/>
    <n v="3500"/>
    <s v="Logitech"/>
    <n v="25000"/>
    <n v="17500"/>
    <n v="7500"/>
    <n v="0.3"/>
  </r>
  <r>
    <s v="O0104"/>
    <x v="88"/>
    <s v="Customer 86"/>
    <x v="6"/>
    <x v="9"/>
    <n v="3"/>
    <n v="80000"/>
    <x v="7"/>
    <x v="0"/>
    <n v="65000"/>
    <s v="Samsung"/>
    <n v="240000"/>
    <n v="195000"/>
    <n v="45000"/>
    <n v="0.1875"/>
  </r>
  <r>
    <s v="O0105"/>
    <x v="89"/>
    <s v="Customer 100"/>
    <x v="4"/>
    <x v="6"/>
    <n v="4"/>
    <n v="7000"/>
    <x v="3"/>
    <x v="1"/>
    <n v="5000"/>
    <s v="Sony"/>
    <n v="28000"/>
    <n v="20000"/>
    <n v="8000"/>
    <n v="0.2857142857142857"/>
  </r>
  <r>
    <s v="O0106"/>
    <x v="90"/>
    <s v="Customer 45"/>
    <x v="3"/>
    <x v="5"/>
    <n v="3"/>
    <n v="9500"/>
    <x v="6"/>
    <x v="1"/>
    <n v="7000"/>
    <s v="Logitech"/>
    <n v="28500"/>
    <n v="21000"/>
    <n v="7500"/>
    <n v="0.26315789473684209"/>
  </r>
  <r>
    <s v="O0107"/>
    <x v="91"/>
    <s v="Customer 9"/>
    <x v="6"/>
    <x v="8"/>
    <n v="2"/>
    <n v="18000"/>
    <x v="9"/>
    <x v="2"/>
    <n v="12000"/>
    <s v="Kingston"/>
    <n v="36000"/>
    <n v="24000"/>
    <n v="12000"/>
    <n v="0.33333333333333331"/>
  </r>
  <r>
    <s v="O0108"/>
    <x v="92"/>
    <s v="Customer 60"/>
    <x v="1"/>
    <x v="9"/>
    <n v="4"/>
    <n v="80000"/>
    <x v="9"/>
    <x v="0"/>
    <n v="65000"/>
    <s v="Samsung"/>
    <n v="320000"/>
    <n v="260000"/>
    <n v="60000"/>
    <n v="0.1875"/>
  </r>
  <r>
    <s v="O0109"/>
    <x v="46"/>
    <s v="Customer 80"/>
    <x v="2"/>
    <x v="6"/>
    <n v="2"/>
    <n v="7000"/>
    <x v="8"/>
    <x v="1"/>
    <n v="5000"/>
    <s v="Sony"/>
    <n v="14000"/>
    <n v="10000"/>
    <n v="4000"/>
    <n v="0.2857142857142857"/>
  </r>
  <r>
    <s v="O0110"/>
    <x v="93"/>
    <s v="Customer 98"/>
    <x v="1"/>
    <x v="9"/>
    <n v="2"/>
    <n v="80000"/>
    <x v="9"/>
    <x v="0"/>
    <n v="65000"/>
    <s v="Samsung"/>
    <n v="160000"/>
    <n v="130000"/>
    <n v="30000"/>
    <n v="0.1875"/>
  </r>
  <r>
    <s v="O0111"/>
    <x v="94"/>
    <s v="Customer 20"/>
    <x v="5"/>
    <x v="7"/>
    <n v="5"/>
    <n v="5000"/>
    <x v="3"/>
    <x v="1"/>
    <n v="3500"/>
    <s v="Logitech"/>
    <n v="25000"/>
    <n v="17500"/>
    <n v="7500"/>
    <n v="0.3"/>
  </r>
  <r>
    <s v="O0112"/>
    <x v="95"/>
    <s v="Customer 46"/>
    <x v="1"/>
    <x v="2"/>
    <n v="3"/>
    <n v="2500"/>
    <x v="0"/>
    <x v="1"/>
    <n v="1500"/>
    <s v="Logitech"/>
    <n v="7500"/>
    <n v="4500"/>
    <n v="3000"/>
    <n v="0.4"/>
  </r>
  <r>
    <s v="O0113"/>
    <x v="7"/>
    <s v="Customer 23"/>
    <x v="7"/>
    <x v="6"/>
    <n v="1"/>
    <n v="7000"/>
    <x v="9"/>
    <x v="1"/>
    <n v="5000"/>
    <s v="Sony"/>
    <n v="7000"/>
    <n v="5000"/>
    <n v="2000"/>
    <n v="0.2857142857142857"/>
  </r>
  <r>
    <s v="O0114"/>
    <x v="96"/>
    <s v="Customer 25"/>
    <x v="0"/>
    <x v="4"/>
    <n v="2"/>
    <n v="60000"/>
    <x v="6"/>
    <x v="0"/>
    <n v="50000"/>
    <s v="LG"/>
    <n v="120000"/>
    <n v="100000"/>
    <n v="20000"/>
    <n v="0.16666666666666666"/>
  </r>
  <r>
    <s v="O0115"/>
    <x v="97"/>
    <s v="Customer 24"/>
    <x v="2"/>
    <x v="4"/>
    <n v="2"/>
    <n v="60000"/>
    <x v="0"/>
    <x v="0"/>
    <n v="50000"/>
    <s v="LG"/>
    <n v="120000"/>
    <n v="100000"/>
    <n v="20000"/>
    <n v="0.16666666666666666"/>
  </r>
  <r>
    <s v="O0116"/>
    <x v="98"/>
    <s v="Customer 16"/>
    <x v="0"/>
    <x v="9"/>
    <n v="3"/>
    <n v="80000"/>
    <x v="9"/>
    <x v="0"/>
    <n v="65000"/>
    <s v="Samsung"/>
    <n v="240000"/>
    <n v="195000"/>
    <n v="45000"/>
    <n v="0.1875"/>
  </r>
  <r>
    <s v="O0117"/>
    <x v="99"/>
    <s v="Customer 2"/>
    <x v="0"/>
    <x v="0"/>
    <n v="1"/>
    <n v="150000"/>
    <x v="9"/>
    <x v="0"/>
    <n v="120000"/>
    <s v="Dell"/>
    <n v="150000"/>
    <n v="120000"/>
    <n v="30000"/>
    <n v="0.2"/>
  </r>
  <r>
    <s v="O0118"/>
    <x v="76"/>
    <s v="Customer 37"/>
    <x v="3"/>
    <x v="9"/>
    <n v="3"/>
    <n v="80000"/>
    <x v="9"/>
    <x v="0"/>
    <n v="65000"/>
    <s v="Samsung"/>
    <n v="240000"/>
    <n v="195000"/>
    <n v="45000"/>
    <n v="0.1875"/>
  </r>
  <r>
    <s v="O0119"/>
    <x v="100"/>
    <s v="Customer 80"/>
    <x v="4"/>
    <x v="2"/>
    <n v="4"/>
    <n v="2500"/>
    <x v="2"/>
    <x v="1"/>
    <n v="1500"/>
    <s v="Logitech"/>
    <n v="10000"/>
    <n v="6000"/>
    <n v="4000"/>
    <n v="0.4"/>
  </r>
  <r>
    <s v="O0120"/>
    <x v="76"/>
    <s v="Customer 47"/>
    <x v="0"/>
    <x v="6"/>
    <n v="2"/>
    <n v="7000"/>
    <x v="7"/>
    <x v="1"/>
    <n v="5000"/>
    <s v="Sony"/>
    <n v="14000"/>
    <n v="10000"/>
    <n v="4000"/>
    <n v="0.2857142857142857"/>
  </r>
  <r>
    <s v="O0121"/>
    <x v="101"/>
    <s v="Customer 87"/>
    <x v="5"/>
    <x v="5"/>
    <n v="5"/>
    <n v="9500"/>
    <x v="3"/>
    <x v="1"/>
    <n v="7000"/>
    <s v="Logitech"/>
    <n v="47500"/>
    <n v="35000"/>
    <n v="12500"/>
    <n v="0.26315789473684209"/>
  </r>
  <r>
    <s v="O0122"/>
    <x v="102"/>
    <s v="Customer 44"/>
    <x v="7"/>
    <x v="0"/>
    <n v="4"/>
    <n v="150000"/>
    <x v="4"/>
    <x v="0"/>
    <n v="120000"/>
    <s v="Dell"/>
    <n v="600000"/>
    <n v="480000"/>
    <n v="120000"/>
    <n v="0.2"/>
  </r>
  <r>
    <s v="O0123"/>
    <x v="103"/>
    <s v="Customer 47"/>
    <x v="0"/>
    <x v="0"/>
    <n v="5"/>
    <n v="150000"/>
    <x v="4"/>
    <x v="0"/>
    <n v="120000"/>
    <s v="Dell"/>
    <n v="750000"/>
    <n v="600000"/>
    <n v="150000"/>
    <n v="0.2"/>
  </r>
  <r>
    <s v="O0124"/>
    <x v="104"/>
    <s v="Customer 17"/>
    <x v="2"/>
    <x v="4"/>
    <n v="3"/>
    <n v="60000"/>
    <x v="6"/>
    <x v="0"/>
    <n v="50000"/>
    <s v="LG"/>
    <n v="180000"/>
    <n v="150000"/>
    <n v="30000"/>
    <n v="0.16666666666666666"/>
  </r>
  <r>
    <s v="O0125"/>
    <x v="105"/>
    <s v="Customer 54"/>
    <x v="1"/>
    <x v="3"/>
    <n v="5"/>
    <n v="2000"/>
    <x v="6"/>
    <x v="2"/>
    <n v="1200"/>
    <s v="SanDisk"/>
    <n v="10000"/>
    <n v="6000"/>
    <n v="4000"/>
    <n v="0.4"/>
  </r>
  <r>
    <s v="O0126"/>
    <x v="106"/>
    <s v="Customer 73"/>
    <x v="0"/>
    <x v="4"/>
    <n v="2"/>
    <n v="60000"/>
    <x v="0"/>
    <x v="0"/>
    <n v="50000"/>
    <s v="LG"/>
    <n v="120000"/>
    <n v="100000"/>
    <n v="20000"/>
    <n v="0.16666666666666666"/>
  </r>
  <r>
    <s v="O0127"/>
    <x v="107"/>
    <s v="Customer 6"/>
    <x v="1"/>
    <x v="3"/>
    <n v="1"/>
    <n v="2000"/>
    <x v="7"/>
    <x v="2"/>
    <n v="1200"/>
    <s v="SanDisk"/>
    <n v="2000"/>
    <n v="1200"/>
    <n v="800"/>
    <n v="0.4"/>
  </r>
  <r>
    <s v="O0128"/>
    <x v="108"/>
    <s v="Customer 81"/>
    <x v="4"/>
    <x v="1"/>
    <n v="1"/>
    <n v="45000"/>
    <x v="7"/>
    <x v="0"/>
    <n v="35000"/>
    <s v="HP"/>
    <n v="45000"/>
    <n v="35000"/>
    <n v="10000"/>
    <n v="0.22222222222222221"/>
  </r>
  <r>
    <s v="O0129"/>
    <x v="109"/>
    <s v="Customer 72"/>
    <x v="5"/>
    <x v="7"/>
    <n v="3"/>
    <n v="5000"/>
    <x v="3"/>
    <x v="1"/>
    <n v="3500"/>
    <s v="Logitech"/>
    <n v="15000"/>
    <n v="10500"/>
    <n v="4500"/>
    <n v="0.3"/>
  </r>
  <r>
    <s v="O0130"/>
    <x v="40"/>
    <s v="Customer 22"/>
    <x v="2"/>
    <x v="0"/>
    <n v="1"/>
    <n v="150000"/>
    <x v="7"/>
    <x v="0"/>
    <n v="120000"/>
    <s v="Dell"/>
    <n v="150000"/>
    <n v="120000"/>
    <n v="30000"/>
    <n v="0.2"/>
  </r>
  <r>
    <s v="O0131"/>
    <x v="110"/>
    <s v="Customer 6"/>
    <x v="5"/>
    <x v="8"/>
    <n v="5"/>
    <n v="18000"/>
    <x v="7"/>
    <x v="2"/>
    <n v="12000"/>
    <s v="Kingston"/>
    <n v="90000"/>
    <n v="60000"/>
    <n v="30000"/>
    <n v="0.33333333333333331"/>
  </r>
  <r>
    <s v="O0132"/>
    <x v="111"/>
    <s v="Customer 84"/>
    <x v="5"/>
    <x v="1"/>
    <n v="5"/>
    <n v="45000"/>
    <x v="7"/>
    <x v="0"/>
    <n v="35000"/>
    <s v="HP"/>
    <n v="225000"/>
    <n v="175000"/>
    <n v="50000"/>
    <n v="0.22222222222222221"/>
  </r>
  <r>
    <s v="O0133"/>
    <x v="112"/>
    <s v="Customer 28"/>
    <x v="6"/>
    <x v="5"/>
    <n v="5"/>
    <n v="9500"/>
    <x v="3"/>
    <x v="1"/>
    <n v="7000"/>
    <s v="Logitech"/>
    <n v="47500"/>
    <n v="35000"/>
    <n v="12500"/>
    <n v="0.26315789473684209"/>
  </r>
  <r>
    <s v="O0134"/>
    <x v="113"/>
    <s v="Customer 53"/>
    <x v="7"/>
    <x v="0"/>
    <n v="5"/>
    <n v="150000"/>
    <x v="1"/>
    <x v="0"/>
    <n v="120000"/>
    <s v="Dell"/>
    <n v="750000"/>
    <n v="600000"/>
    <n v="150000"/>
    <n v="0.2"/>
  </r>
  <r>
    <s v="O0135"/>
    <x v="114"/>
    <s v="Customer 93"/>
    <x v="4"/>
    <x v="2"/>
    <n v="3"/>
    <n v="2500"/>
    <x v="0"/>
    <x v="1"/>
    <n v="1500"/>
    <s v="Logitech"/>
    <n v="7500"/>
    <n v="4500"/>
    <n v="3000"/>
    <n v="0.4"/>
  </r>
  <r>
    <s v="O0136"/>
    <x v="115"/>
    <s v="Customer 81"/>
    <x v="3"/>
    <x v="7"/>
    <n v="3"/>
    <n v="5000"/>
    <x v="2"/>
    <x v="1"/>
    <n v="3500"/>
    <s v="Logitech"/>
    <n v="15000"/>
    <n v="10500"/>
    <n v="4500"/>
    <n v="0.3"/>
  </r>
  <r>
    <s v="O0137"/>
    <x v="22"/>
    <s v="Customer 22"/>
    <x v="5"/>
    <x v="1"/>
    <n v="3"/>
    <n v="45000"/>
    <x v="5"/>
    <x v="0"/>
    <n v="35000"/>
    <s v="HP"/>
    <n v="135000"/>
    <n v="105000"/>
    <n v="30000"/>
    <n v="0.22222222222222221"/>
  </r>
  <r>
    <s v="O0138"/>
    <x v="116"/>
    <s v="Customer 90"/>
    <x v="0"/>
    <x v="9"/>
    <n v="4"/>
    <n v="80000"/>
    <x v="4"/>
    <x v="0"/>
    <n v="65000"/>
    <s v="Samsung"/>
    <n v="320000"/>
    <n v="260000"/>
    <n v="60000"/>
    <n v="0.1875"/>
  </r>
  <r>
    <s v="O0139"/>
    <x v="117"/>
    <s v="Customer 80"/>
    <x v="4"/>
    <x v="7"/>
    <n v="2"/>
    <n v="5000"/>
    <x v="4"/>
    <x v="1"/>
    <n v="3500"/>
    <s v="Logitech"/>
    <n v="10000"/>
    <n v="7000"/>
    <n v="3000"/>
    <n v="0.3"/>
  </r>
  <r>
    <s v="O0140"/>
    <x v="3"/>
    <s v="Customer 66"/>
    <x v="4"/>
    <x v="7"/>
    <n v="2"/>
    <n v="5000"/>
    <x v="4"/>
    <x v="1"/>
    <n v="3500"/>
    <s v="Logitech"/>
    <n v="10000"/>
    <n v="7000"/>
    <n v="3000"/>
    <n v="0.3"/>
  </r>
  <r>
    <s v="O0141"/>
    <x v="20"/>
    <s v="Customer 63"/>
    <x v="7"/>
    <x v="1"/>
    <n v="4"/>
    <n v="45000"/>
    <x v="7"/>
    <x v="0"/>
    <n v="35000"/>
    <s v="HP"/>
    <n v="180000"/>
    <n v="140000"/>
    <n v="40000"/>
    <n v="0.22222222222222221"/>
  </r>
  <r>
    <s v="O0142"/>
    <x v="118"/>
    <s v="Customer 78"/>
    <x v="3"/>
    <x v="6"/>
    <n v="3"/>
    <n v="7000"/>
    <x v="0"/>
    <x v="1"/>
    <n v="5000"/>
    <s v="Sony"/>
    <n v="21000"/>
    <n v="15000"/>
    <n v="6000"/>
    <n v="0.2857142857142857"/>
  </r>
  <r>
    <s v="O0143"/>
    <x v="119"/>
    <s v="Customer 56"/>
    <x v="5"/>
    <x v="3"/>
    <n v="2"/>
    <n v="2000"/>
    <x v="0"/>
    <x v="2"/>
    <n v="1200"/>
    <s v="SanDisk"/>
    <n v="4000"/>
    <n v="2400"/>
    <n v="1600"/>
    <n v="0.4"/>
  </r>
  <r>
    <s v="O0144"/>
    <x v="30"/>
    <s v="Customer 18"/>
    <x v="2"/>
    <x v="7"/>
    <n v="1"/>
    <n v="5000"/>
    <x v="9"/>
    <x v="1"/>
    <n v="3500"/>
    <s v="Logitech"/>
    <n v="5000"/>
    <n v="3500"/>
    <n v="1500"/>
    <n v="0.3"/>
  </r>
  <r>
    <s v="O0145"/>
    <x v="120"/>
    <s v="Customer 65"/>
    <x v="1"/>
    <x v="2"/>
    <n v="1"/>
    <n v="2500"/>
    <x v="9"/>
    <x v="1"/>
    <n v="1500"/>
    <s v="Logitech"/>
    <n v="2500"/>
    <n v="1500"/>
    <n v="1000"/>
    <n v="0.4"/>
  </r>
  <r>
    <s v="O0146"/>
    <x v="121"/>
    <s v="Customer 26"/>
    <x v="2"/>
    <x v="6"/>
    <n v="2"/>
    <n v="7000"/>
    <x v="3"/>
    <x v="1"/>
    <n v="5000"/>
    <s v="Sony"/>
    <n v="14000"/>
    <n v="10000"/>
    <n v="4000"/>
    <n v="0.2857142857142857"/>
  </r>
  <r>
    <s v="O0147"/>
    <x v="122"/>
    <s v="Customer 11"/>
    <x v="7"/>
    <x v="7"/>
    <n v="4"/>
    <n v="5000"/>
    <x v="9"/>
    <x v="1"/>
    <n v="3500"/>
    <s v="Logitech"/>
    <n v="20000"/>
    <n v="14000"/>
    <n v="6000"/>
    <n v="0.3"/>
  </r>
  <r>
    <s v="O0148"/>
    <x v="123"/>
    <s v="Customer 27"/>
    <x v="1"/>
    <x v="6"/>
    <n v="2"/>
    <n v="7000"/>
    <x v="4"/>
    <x v="1"/>
    <n v="5000"/>
    <s v="Sony"/>
    <n v="14000"/>
    <n v="10000"/>
    <n v="4000"/>
    <n v="0.2857142857142857"/>
  </r>
  <r>
    <s v="O0149"/>
    <x v="124"/>
    <s v="Customer 72"/>
    <x v="2"/>
    <x v="4"/>
    <n v="3"/>
    <n v="60000"/>
    <x v="5"/>
    <x v="0"/>
    <n v="50000"/>
    <s v="LG"/>
    <n v="180000"/>
    <n v="150000"/>
    <n v="30000"/>
    <n v="0.16666666666666666"/>
  </r>
  <r>
    <s v="O0150"/>
    <x v="125"/>
    <s v="Customer 96"/>
    <x v="0"/>
    <x v="1"/>
    <n v="1"/>
    <n v="45000"/>
    <x v="8"/>
    <x v="0"/>
    <n v="35000"/>
    <s v="HP"/>
    <n v="45000"/>
    <n v="35000"/>
    <n v="10000"/>
    <n v="0.22222222222222221"/>
  </r>
  <r>
    <s v="O0151"/>
    <x v="15"/>
    <s v="Customer 40"/>
    <x v="0"/>
    <x v="9"/>
    <n v="1"/>
    <n v="80000"/>
    <x v="7"/>
    <x v="0"/>
    <n v="65000"/>
    <s v="Samsung"/>
    <n v="80000"/>
    <n v="65000"/>
    <n v="15000"/>
    <n v="0.1875"/>
  </r>
  <r>
    <s v="O0152"/>
    <x v="126"/>
    <s v="Customer 8"/>
    <x v="0"/>
    <x v="7"/>
    <n v="4"/>
    <n v="5000"/>
    <x v="0"/>
    <x v="1"/>
    <n v="3500"/>
    <s v="Logitech"/>
    <n v="20000"/>
    <n v="14000"/>
    <n v="6000"/>
    <n v="0.3"/>
  </r>
  <r>
    <s v="O0153"/>
    <x v="127"/>
    <s v="Customer 70"/>
    <x v="4"/>
    <x v="3"/>
    <n v="1"/>
    <n v="2000"/>
    <x v="0"/>
    <x v="2"/>
    <n v="1200"/>
    <s v="SanDisk"/>
    <n v="2000"/>
    <n v="1200"/>
    <n v="800"/>
    <n v="0.4"/>
  </r>
  <r>
    <s v="O0154"/>
    <x v="49"/>
    <s v="Customer 43"/>
    <x v="1"/>
    <x v="5"/>
    <n v="4"/>
    <n v="9500"/>
    <x v="8"/>
    <x v="1"/>
    <n v="7000"/>
    <s v="Logitech"/>
    <n v="38000"/>
    <n v="28000"/>
    <n v="10000"/>
    <n v="0.26315789473684209"/>
  </r>
  <r>
    <s v="O0155"/>
    <x v="44"/>
    <s v="Customer 21"/>
    <x v="2"/>
    <x v="6"/>
    <n v="3"/>
    <n v="7000"/>
    <x v="7"/>
    <x v="1"/>
    <n v="5000"/>
    <s v="Sony"/>
    <n v="21000"/>
    <n v="15000"/>
    <n v="6000"/>
    <n v="0.2857142857142857"/>
  </r>
  <r>
    <s v="O0156"/>
    <x v="128"/>
    <s v="Customer 42"/>
    <x v="1"/>
    <x v="3"/>
    <n v="1"/>
    <n v="2000"/>
    <x v="0"/>
    <x v="2"/>
    <n v="1200"/>
    <s v="SanDisk"/>
    <n v="2000"/>
    <n v="1200"/>
    <n v="800"/>
    <n v="0.4"/>
  </r>
  <r>
    <s v="O0157"/>
    <x v="129"/>
    <s v="Customer 44"/>
    <x v="2"/>
    <x v="1"/>
    <n v="1"/>
    <n v="45000"/>
    <x v="0"/>
    <x v="0"/>
    <n v="35000"/>
    <s v="HP"/>
    <n v="45000"/>
    <n v="35000"/>
    <n v="10000"/>
    <n v="0.22222222222222221"/>
  </r>
  <r>
    <s v="O0158"/>
    <x v="130"/>
    <s v="Customer 36"/>
    <x v="0"/>
    <x v="7"/>
    <n v="5"/>
    <n v="5000"/>
    <x v="2"/>
    <x v="1"/>
    <n v="3500"/>
    <s v="Logitech"/>
    <n v="25000"/>
    <n v="17500"/>
    <n v="7500"/>
    <n v="0.3"/>
  </r>
  <r>
    <s v="O0159"/>
    <x v="35"/>
    <s v="Customer 29"/>
    <x v="0"/>
    <x v="7"/>
    <n v="2"/>
    <n v="5000"/>
    <x v="6"/>
    <x v="1"/>
    <n v="3500"/>
    <s v="Logitech"/>
    <n v="10000"/>
    <n v="7000"/>
    <n v="3000"/>
    <n v="0.3"/>
  </r>
  <r>
    <s v="O0160"/>
    <x v="131"/>
    <s v="Customer 19"/>
    <x v="1"/>
    <x v="1"/>
    <n v="2"/>
    <n v="45000"/>
    <x v="3"/>
    <x v="0"/>
    <n v="35000"/>
    <s v="HP"/>
    <n v="90000"/>
    <n v="70000"/>
    <n v="20000"/>
    <n v="0.22222222222222221"/>
  </r>
  <r>
    <s v="O0161"/>
    <x v="132"/>
    <s v="Customer 66"/>
    <x v="6"/>
    <x v="4"/>
    <n v="4"/>
    <n v="60000"/>
    <x v="3"/>
    <x v="0"/>
    <n v="50000"/>
    <s v="LG"/>
    <n v="240000"/>
    <n v="200000"/>
    <n v="40000"/>
    <n v="0.16666666666666666"/>
  </r>
  <r>
    <s v="O0162"/>
    <x v="133"/>
    <s v="Customer 36"/>
    <x v="7"/>
    <x v="0"/>
    <n v="5"/>
    <n v="150000"/>
    <x v="0"/>
    <x v="0"/>
    <n v="120000"/>
    <s v="Dell"/>
    <n v="750000"/>
    <n v="600000"/>
    <n v="150000"/>
    <n v="0.2"/>
  </r>
  <r>
    <s v="O0163"/>
    <x v="134"/>
    <s v="Customer 87"/>
    <x v="4"/>
    <x v="1"/>
    <n v="5"/>
    <n v="45000"/>
    <x v="8"/>
    <x v="0"/>
    <n v="35000"/>
    <s v="HP"/>
    <n v="225000"/>
    <n v="175000"/>
    <n v="50000"/>
    <n v="0.22222222222222221"/>
  </r>
  <r>
    <s v="O0164"/>
    <x v="135"/>
    <s v="Customer 67"/>
    <x v="5"/>
    <x v="4"/>
    <n v="1"/>
    <n v="60000"/>
    <x v="5"/>
    <x v="0"/>
    <n v="50000"/>
    <s v="LG"/>
    <n v="60000"/>
    <n v="50000"/>
    <n v="10000"/>
    <n v="0.16666666666666666"/>
  </r>
  <r>
    <s v="O0165"/>
    <x v="136"/>
    <s v="Customer 23"/>
    <x v="0"/>
    <x v="5"/>
    <n v="2"/>
    <n v="9500"/>
    <x v="8"/>
    <x v="1"/>
    <n v="7000"/>
    <s v="Logitech"/>
    <n v="19000"/>
    <n v="14000"/>
    <n v="5000"/>
    <n v="0.26315789473684209"/>
  </r>
  <r>
    <s v="O0166"/>
    <x v="13"/>
    <s v="Customer 25"/>
    <x v="5"/>
    <x v="2"/>
    <n v="1"/>
    <n v="2500"/>
    <x v="5"/>
    <x v="1"/>
    <n v="1500"/>
    <s v="Logitech"/>
    <n v="2500"/>
    <n v="1500"/>
    <n v="1000"/>
    <n v="0.4"/>
  </r>
  <r>
    <s v="O0167"/>
    <x v="136"/>
    <s v="Customer 47"/>
    <x v="3"/>
    <x v="3"/>
    <n v="2"/>
    <n v="2000"/>
    <x v="1"/>
    <x v="2"/>
    <n v="1200"/>
    <s v="SanDisk"/>
    <n v="4000"/>
    <n v="2400"/>
    <n v="1600"/>
    <n v="0.4"/>
  </r>
  <r>
    <s v="O0168"/>
    <x v="137"/>
    <s v="Customer 92"/>
    <x v="4"/>
    <x v="8"/>
    <n v="3"/>
    <n v="18000"/>
    <x v="9"/>
    <x v="2"/>
    <n v="12000"/>
    <s v="Kingston"/>
    <n v="54000"/>
    <n v="36000"/>
    <n v="18000"/>
    <n v="0.33333333333333331"/>
  </r>
  <r>
    <s v="O0169"/>
    <x v="138"/>
    <s v="Customer 47"/>
    <x v="7"/>
    <x v="9"/>
    <n v="5"/>
    <n v="80000"/>
    <x v="7"/>
    <x v="0"/>
    <n v="65000"/>
    <s v="Samsung"/>
    <n v="400000"/>
    <n v="325000"/>
    <n v="75000"/>
    <n v="0.1875"/>
  </r>
  <r>
    <s v="O0170"/>
    <x v="139"/>
    <s v="Customer 55"/>
    <x v="5"/>
    <x v="2"/>
    <n v="2"/>
    <n v="2500"/>
    <x v="6"/>
    <x v="1"/>
    <n v="1500"/>
    <s v="Logitech"/>
    <n v="5000"/>
    <n v="3000"/>
    <n v="2000"/>
    <n v="0.4"/>
  </r>
  <r>
    <s v="O0171"/>
    <x v="140"/>
    <s v="Customer 33"/>
    <x v="0"/>
    <x v="4"/>
    <n v="1"/>
    <n v="60000"/>
    <x v="3"/>
    <x v="0"/>
    <n v="50000"/>
    <s v="LG"/>
    <n v="60000"/>
    <n v="50000"/>
    <n v="10000"/>
    <n v="0.16666666666666666"/>
  </r>
  <r>
    <s v="O0172"/>
    <x v="111"/>
    <s v="Customer 31"/>
    <x v="7"/>
    <x v="4"/>
    <n v="4"/>
    <n v="60000"/>
    <x v="5"/>
    <x v="0"/>
    <n v="50000"/>
    <s v="LG"/>
    <n v="240000"/>
    <n v="200000"/>
    <n v="40000"/>
    <n v="0.16666666666666666"/>
  </r>
  <r>
    <s v="O0173"/>
    <x v="141"/>
    <s v="Customer 18"/>
    <x v="3"/>
    <x v="4"/>
    <n v="5"/>
    <n v="60000"/>
    <x v="8"/>
    <x v="0"/>
    <n v="50000"/>
    <s v="LG"/>
    <n v="300000"/>
    <n v="250000"/>
    <n v="50000"/>
    <n v="0.16666666666666666"/>
  </r>
  <r>
    <s v="O0174"/>
    <x v="142"/>
    <s v="Customer 56"/>
    <x v="1"/>
    <x v="6"/>
    <n v="1"/>
    <n v="7000"/>
    <x v="9"/>
    <x v="1"/>
    <n v="5000"/>
    <s v="Sony"/>
    <n v="7000"/>
    <n v="5000"/>
    <n v="2000"/>
    <n v="0.2857142857142857"/>
  </r>
  <r>
    <s v="O0175"/>
    <x v="143"/>
    <s v="Customer 49"/>
    <x v="1"/>
    <x v="9"/>
    <n v="5"/>
    <n v="80000"/>
    <x v="3"/>
    <x v="0"/>
    <n v="65000"/>
    <s v="Samsung"/>
    <n v="400000"/>
    <n v="325000"/>
    <n v="75000"/>
    <n v="0.1875"/>
  </r>
  <r>
    <s v="O0176"/>
    <x v="144"/>
    <s v="Customer 43"/>
    <x v="1"/>
    <x v="5"/>
    <n v="2"/>
    <n v="9500"/>
    <x v="5"/>
    <x v="1"/>
    <n v="7000"/>
    <s v="Logitech"/>
    <n v="19000"/>
    <n v="14000"/>
    <n v="5000"/>
    <n v="0.26315789473684209"/>
  </r>
  <r>
    <s v="O0177"/>
    <x v="0"/>
    <s v="Customer 34"/>
    <x v="3"/>
    <x v="0"/>
    <n v="2"/>
    <n v="150000"/>
    <x v="1"/>
    <x v="0"/>
    <n v="120000"/>
    <s v="Dell"/>
    <n v="300000"/>
    <n v="240000"/>
    <n v="60000"/>
    <n v="0.2"/>
  </r>
  <r>
    <s v="O0178"/>
    <x v="145"/>
    <s v="Customer 57"/>
    <x v="7"/>
    <x v="5"/>
    <n v="5"/>
    <n v="9500"/>
    <x v="4"/>
    <x v="1"/>
    <n v="7000"/>
    <s v="Logitech"/>
    <n v="47500"/>
    <n v="35000"/>
    <n v="12500"/>
    <n v="0.26315789473684209"/>
  </r>
  <r>
    <s v="O0179"/>
    <x v="146"/>
    <s v="Customer 83"/>
    <x v="5"/>
    <x v="8"/>
    <n v="2"/>
    <n v="18000"/>
    <x v="4"/>
    <x v="2"/>
    <n v="12000"/>
    <s v="Kingston"/>
    <n v="36000"/>
    <n v="24000"/>
    <n v="12000"/>
    <n v="0.33333333333333331"/>
  </r>
  <r>
    <s v="O0180"/>
    <x v="49"/>
    <s v="Customer 2"/>
    <x v="6"/>
    <x v="7"/>
    <n v="4"/>
    <n v="5000"/>
    <x v="0"/>
    <x v="1"/>
    <n v="3500"/>
    <s v="Logitech"/>
    <n v="20000"/>
    <n v="14000"/>
    <n v="6000"/>
    <n v="0.3"/>
  </r>
  <r>
    <s v="O0181"/>
    <x v="147"/>
    <s v="Customer 37"/>
    <x v="0"/>
    <x v="6"/>
    <n v="5"/>
    <n v="7000"/>
    <x v="1"/>
    <x v="1"/>
    <n v="5000"/>
    <s v="Sony"/>
    <n v="35000"/>
    <n v="25000"/>
    <n v="10000"/>
    <n v="0.2857142857142857"/>
  </r>
  <r>
    <s v="O0182"/>
    <x v="148"/>
    <s v="Customer 43"/>
    <x v="3"/>
    <x v="8"/>
    <n v="2"/>
    <n v="18000"/>
    <x v="4"/>
    <x v="2"/>
    <n v="12000"/>
    <s v="Kingston"/>
    <n v="36000"/>
    <n v="24000"/>
    <n v="12000"/>
    <n v="0.33333333333333331"/>
  </r>
  <r>
    <s v="O0183"/>
    <x v="11"/>
    <s v="Customer 79"/>
    <x v="0"/>
    <x v="2"/>
    <n v="5"/>
    <n v="2500"/>
    <x v="9"/>
    <x v="1"/>
    <n v="1500"/>
    <s v="Logitech"/>
    <n v="12500"/>
    <n v="7500"/>
    <n v="5000"/>
    <n v="0.4"/>
  </r>
  <r>
    <s v="O0184"/>
    <x v="149"/>
    <s v="Customer 40"/>
    <x v="5"/>
    <x v="0"/>
    <n v="2"/>
    <n v="150000"/>
    <x v="6"/>
    <x v="0"/>
    <n v="120000"/>
    <s v="Dell"/>
    <n v="300000"/>
    <n v="240000"/>
    <n v="60000"/>
    <n v="0.2"/>
  </r>
  <r>
    <s v="O0185"/>
    <x v="150"/>
    <s v="Customer 12"/>
    <x v="2"/>
    <x v="0"/>
    <n v="2"/>
    <n v="150000"/>
    <x v="1"/>
    <x v="0"/>
    <n v="120000"/>
    <s v="Dell"/>
    <n v="300000"/>
    <n v="240000"/>
    <n v="60000"/>
    <n v="0.2"/>
  </r>
  <r>
    <s v="O0186"/>
    <x v="54"/>
    <s v="Customer 47"/>
    <x v="1"/>
    <x v="2"/>
    <n v="2"/>
    <n v="2500"/>
    <x v="5"/>
    <x v="1"/>
    <n v="1500"/>
    <s v="Logitech"/>
    <n v="5000"/>
    <n v="3000"/>
    <n v="2000"/>
    <n v="0.4"/>
  </r>
  <r>
    <s v="O0187"/>
    <x v="148"/>
    <s v="Customer 93"/>
    <x v="6"/>
    <x v="6"/>
    <n v="1"/>
    <n v="7000"/>
    <x v="0"/>
    <x v="1"/>
    <n v="5000"/>
    <s v="Sony"/>
    <n v="7000"/>
    <n v="5000"/>
    <n v="2000"/>
    <n v="0.2857142857142857"/>
  </r>
  <r>
    <s v="O0188"/>
    <x v="151"/>
    <s v="Customer 88"/>
    <x v="7"/>
    <x v="4"/>
    <n v="5"/>
    <n v="60000"/>
    <x v="1"/>
    <x v="0"/>
    <n v="50000"/>
    <s v="LG"/>
    <n v="300000"/>
    <n v="250000"/>
    <n v="50000"/>
    <n v="0.16666666666666666"/>
  </r>
  <r>
    <s v="O0189"/>
    <x v="152"/>
    <s v="Customer 69"/>
    <x v="3"/>
    <x v="0"/>
    <n v="3"/>
    <n v="150000"/>
    <x v="0"/>
    <x v="0"/>
    <n v="120000"/>
    <s v="Dell"/>
    <n v="450000"/>
    <n v="360000"/>
    <n v="90000"/>
    <n v="0.2"/>
  </r>
  <r>
    <s v="O0190"/>
    <x v="153"/>
    <s v="Customer 41"/>
    <x v="3"/>
    <x v="4"/>
    <n v="4"/>
    <n v="60000"/>
    <x v="7"/>
    <x v="0"/>
    <n v="50000"/>
    <s v="LG"/>
    <n v="240000"/>
    <n v="200000"/>
    <n v="40000"/>
    <n v="0.16666666666666666"/>
  </r>
  <r>
    <s v="O0191"/>
    <x v="0"/>
    <s v="Customer 46"/>
    <x v="2"/>
    <x v="3"/>
    <n v="3"/>
    <n v="2000"/>
    <x v="9"/>
    <x v="2"/>
    <n v="1200"/>
    <s v="SanDisk"/>
    <n v="6000"/>
    <n v="3600"/>
    <n v="2400"/>
    <n v="0.4"/>
  </r>
  <r>
    <s v="O0192"/>
    <x v="154"/>
    <s v="Customer 88"/>
    <x v="2"/>
    <x v="8"/>
    <n v="1"/>
    <n v="18000"/>
    <x v="0"/>
    <x v="2"/>
    <n v="12000"/>
    <s v="Kingston"/>
    <n v="18000"/>
    <n v="12000"/>
    <n v="6000"/>
    <n v="0.33333333333333331"/>
  </r>
  <r>
    <s v="O0193"/>
    <x v="72"/>
    <s v="Customer 91"/>
    <x v="7"/>
    <x v="7"/>
    <n v="3"/>
    <n v="5000"/>
    <x v="9"/>
    <x v="1"/>
    <n v="3500"/>
    <s v="Logitech"/>
    <n v="15000"/>
    <n v="10500"/>
    <n v="4500"/>
    <n v="0.3"/>
  </r>
  <r>
    <s v="O0194"/>
    <x v="155"/>
    <s v="Customer 96"/>
    <x v="6"/>
    <x v="2"/>
    <n v="5"/>
    <n v="2500"/>
    <x v="0"/>
    <x v="1"/>
    <n v="1500"/>
    <s v="Logitech"/>
    <n v="12500"/>
    <n v="7500"/>
    <n v="5000"/>
    <n v="0.4"/>
  </r>
  <r>
    <s v="O0195"/>
    <x v="109"/>
    <s v="Customer 39"/>
    <x v="1"/>
    <x v="2"/>
    <n v="4"/>
    <n v="2500"/>
    <x v="2"/>
    <x v="1"/>
    <n v="1500"/>
    <s v="Logitech"/>
    <n v="10000"/>
    <n v="6000"/>
    <n v="4000"/>
    <n v="0.4"/>
  </r>
  <r>
    <s v="O0196"/>
    <x v="82"/>
    <s v="Customer 52"/>
    <x v="6"/>
    <x v="9"/>
    <n v="1"/>
    <n v="80000"/>
    <x v="5"/>
    <x v="0"/>
    <n v="65000"/>
    <s v="Samsung"/>
    <n v="80000"/>
    <n v="65000"/>
    <n v="15000"/>
    <n v="0.1875"/>
  </r>
  <r>
    <s v="O0197"/>
    <x v="79"/>
    <s v="Customer 69"/>
    <x v="1"/>
    <x v="3"/>
    <n v="2"/>
    <n v="2000"/>
    <x v="6"/>
    <x v="2"/>
    <n v="1200"/>
    <s v="SanDisk"/>
    <n v="4000"/>
    <n v="2400"/>
    <n v="1600"/>
    <n v="0.4"/>
  </r>
  <r>
    <s v="O0198"/>
    <x v="73"/>
    <s v="Customer 51"/>
    <x v="1"/>
    <x v="5"/>
    <n v="4"/>
    <n v="9500"/>
    <x v="5"/>
    <x v="1"/>
    <n v="7000"/>
    <s v="Logitech"/>
    <n v="38000"/>
    <n v="28000"/>
    <n v="10000"/>
    <n v="0.26315789473684209"/>
  </r>
  <r>
    <s v="O0199"/>
    <x v="156"/>
    <s v="Customer 80"/>
    <x v="1"/>
    <x v="4"/>
    <n v="2"/>
    <n v="60000"/>
    <x v="0"/>
    <x v="0"/>
    <n v="50000"/>
    <s v="LG"/>
    <n v="120000"/>
    <n v="100000"/>
    <n v="20000"/>
    <n v="0.16666666666666666"/>
  </r>
  <r>
    <s v="O0200"/>
    <x v="157"/>
    <s v="Customer 94"/>
    <x v="1"/>
    <x v="5"/>
    <n v="3"/>
    <n v="9500"/>
    <x v="1"/>
    <x v="1"/>
    <n v="7000"/>
    <s v="Logitech"/>
    <n v="28500"/>
    <n v="21000"/>
    <n v="7500"/>
    <n v="0.26315789473684209"/>
  </r>
  <r>
    <s v="O0201"/>
    <x v="86"/>
    <s v="Customer 5"/>
    <x v="5"/>
    <x v="8"/>
    <n v="5"/>
    <n v="18000"/>
    <x v="6"/>
    <x v="2"/>
    <n v="12000"/>
    <s v="Kingston"/>
    <n v="90000"/>
    <n v="60000"/>
    <n v="30000"/>
    <n v="0.33333333333333331"/>
  </r>
  <r>
    <s v="O0202"/>
    <x v="158"/>
    <s v="Customer 24"/>
    <x v="4"/>
    <x v="0"/>
    <n v="5"/>
    <n v="150000"/>
    <x v="2"/>
    <x v="0"/>
    <n v="120000"/>
    <s v="Dell"/>
    <n v="750000"/>
    <n v="600000"/>
    <n v="150000"/>
    <n v="0.2"/>
  </r>
  <r>
    <s v="O0203"/>
    <x v="159"/>
    <s v="Customer 50"/>
    <x v="4"/>
    <x v="8"/>
    <n v="4"/>
    <n v="18000"/>
    <x v="1"/>
    <x v="2"/>
    <n v="12000"/>
    <s v="Kingston"/>
    <n v="72000"/>
    <n v="48000"/>
    <n v="24000"/>
    <n v="0.33333333333333331"/>
  </r>
  <r>
    <s v="O0204"/>
    <x v="160"/>
    <s v="Customer 30"/>
    <x v="5"/>
    <x v="6"/>
    <n v="3"/>
    <n v="7000"/>
    <x v="9"/>
    <x v="1"/>
    <n v="5000"/>
    <s v="Sony"/>
    <n v="21000"/>
    <n v="15000"/>
    <n v="6000"/>
    <n v="0.2857142857142857"/>
  </r>
  <r>
    <s v="O0205"/>
    <x v="101"/>
    <s v="Customer 28"/>
    <x v="4"/>
    <x v="7"/>
    <n v="1"/>
    <n v="5000"/>
    <x v="3"/>
    <x v="1"/>
    <n v="3500"/>
    <s v="Logitech"/>
    <n v="5000"/>
    <n v="3500"/>
    <n v="1500"/>
    <n v="0.3"/>
  </r>
  <r>
    <s v="O0206"/>
    <x v="161"/>
    <s v="Customer 78"/>
    <x v="4"/>
    <x v="0"/>
    <n v="2"/>
    <n v="150000"/>
    <x v="4"/>
    <x v="0"/>
    <n v="120000"/>
    <s v="Dell"/>
    <n v="300000"/>
    <n v="240000"/>
    <n v="60000"/>
    <n v="0.2"/>
  </r>
  <r>
    <s v="O0207"/>
    <x v="162"/>
    <s v="Customer 44"/>
    <x v="6"/>
    <x v="2"/>
    <n v="2"/>
    <n v="2500"/>
    <x v="0"/>
    <x v="1"/>
    <n v="1500"/>
    <s v="Logitech"/>
    <n v="5000"/>
    <n v="3000"/>
    <n v="2000"/>
    <n v="0.4"/>
  </r>
  <r>
    <s v="O0208"/>
    <x v="163"/>
    <s v="Customer 85"/>
    <x v="1"/>
    <x v="8"/>
    <n v="3"/>
    <n v="18000"/>
    <x v="1"/>
    <x v="2"/>
    <n v="12000"/>
    <s v="Kingston"/>
    <n v="54000"/>
    <n v="36000"/>
    <n v="18000"/>
    <n v="0.33333333333333331"/>
  </r>
  <r>
    <s v="O0209"/>
    <x v="164"/>
    <s v="Customer 54"/>
    <x v="6"/>
    <x v="3"/>
    <n v="5"/>
    <n v="2000"/>
    <x v="6"/>
    <x v="2"/>
    <n v="1200"/>
    <s v="SanDisk"/>
    <n v="10000"/>
    <n v="6000"/>
    <n v="4000"/>
    <n v="0.4"/>
  </r>
  <r>
    <s v="O0210"/>
    <x v="165"/>
    <s v="Customer 51"/>
    <x v="6"/>
    <x v="0"/>
    <n v="4"/>
    <n v="150000"/>
    <x v="6"/>
    <x v="0"/>
    <n v="120000"/>
    <s v="Dell"/>
    <n v="600000"/>
    <n v="480000"/>
    <n v="120000"/>
    <n v="0.2"/>
  </r>
  <r>
    <s v="O0211"/>
    <x v="166"/>
    <s v="Customer 17"/>
    <x v="5"/>
    <x v="6"/>
    <n v="1"/>
    <n v="7000"/>
    <x v="2"/>
    <x v="1"/>
    <n v="5000"/>
    <s v="Sony"/>
    <n v="7000"/>
    <n v="5000"/>
    <n v="2000"/>
    <n v="0.2857142857142857"/>
  </r>
  <r>
    <s v="O0212"/>
    <x v="167"/>
    <s v="Customer 78"/>
    <x v="3"/>
    <x v="6"/>
    <n v="1"/>
    <n v="7000"/>
    <x v="5"/>
    <x v="1"/>
    <n v="5000"/>
    <s v="Sony"/>
    <n v="7000"/>
    <n v="5000"/>
    <n v="2000"/>
    <n v="0.2857142857142857"/>
  </r>
  <r>
    <s v="O0213"/>
    <x v="168"/>
    <s v="Customer 82"/>
    <x v="1"/>
    <x v="4"/>
    <n v="2"/>
    <n v="60000"/>
    <x v="2"/>
    <x v="0"/>
    <n v="50000"/>
    <s v="LG"/>
    <n v="120000"/>
    <n v="100000"/>
    <n v="20000"/>
    <n v="0.16666666666666666"/>
  </r>
  <r>
    <s v="O0214"/>
    <x v="169"/>
    <s v="Customer 80"/>
    <x v="5"/>
    <x v="0"/>
    <n v="4"/>
    <n v="150000"/>
    <x v="3"/>
    <x v="0"/>
    <n v="120000"/>
    <s v="Dell"/>
    <n v="600000"/>
    <n v="480000"/>
    <n v="120000"/>
    <n v="0.2"/>
  </r>
  <r>
    <s v="O0215"/>
    <x v="170"/>
    <s v="Customer 33"/>
    <x v="1"/>
    <x v="0"/>
    <n v="1"/>
    <n v="150000"/>
    <x v="8"/>
    <x v="0"/>
    <n v="120000"/>
    <s v="Dell"/>
    <n v="150000"/>
    <n v="120000"/>
    <n v="30000"/>
    <n v="0.2"/>
  </r>
  <r>
    <s v="O0216"/>
    <x v="81"/>
    <s v="Customer 48"/>
    <x v="3"/>
    <x v="8"/>
    <n v="1"/>
    <n v="18000"/>
    <x v="7"/>
    <x v="2"/>
    <n v="12000"/>
    <s v="Kingston"/>
    <n v="18000"/>
    <n v="12000"/>
    <n v="6000"/>
    <n v="0.33333333333333331"/>
  </r>
  <r>
    <s v="O0217"/>
    <x v="171"/>
    <s v="Customer 57"/>
    <x v="3"/>
    <x v="0"/>
    <n v="5"/>
    <n v="150000"/>
    <x v="2"/>
    <x v="0"/>
    <n v="120000"/>
    <s v="Dell"/>
    <n v="750000"/>
    <n v="600000"/>
    <n v="150000"/>
    <n v="0.2"/>
  </r>
  <r>
    <s v="O0218"/>
    <x v="165"/>
    <s v="Customer 82"/>
    <x v="7"/>
    <x v="1"/>
    <n v="1"/>
    <n v="45000"/>
    <x v="6"/>
    <x v="0"/>
    <n v="35000"/>
    <s v="HP"/>
    <n v="45000"/>
    <n v="35000"/>
    <n v="10000"/>
    <n v="0.22222222222222221"/>
  </r>
  <r>
    <s v="O0219"/>
    <x v="172"/>
    <s v="Customer 9"/>
    <x v="1"/>
    <x v="9"/>
    <n v="5"/>
    <n v="80000"/>
    <x v="5"/>
    <x v="0"/>
    <n v="65000"/>
    <s v="Samsung"/>
    <n v="400000"/>
    <n v="325000"/>
    <n v="75000"/>
    <n v="0.1875"/>
  </r>
  <r>
    <s v="O0220"/>
    <x v="173"/>
    <s v="Customer 42"/>
    <x v="0"/>
    <x v="9"/>
    <n v="2"/>
    <n v="80000"/>
    <x v="0"/>
    <x v="0"/>
    <n v="65000"/>
    <s v="Samsung"/>
    <n v="160000"/>
    <n v="130000"/>
    <n v="30000"/>
    <n v="0.1875"/>
  </r>
  <r>
    <s v="O0221"/>
    <x v="174"/>
    <s v="Customer 51"/>
    <x v="1"/>
    <x v="9"/>
    <n v="2"/>
    <n v="80000"/>
    <x v="2"/>
    <x v="0"/>
    <n v="65000"/>
    <s v="Samsung"/>
    <n v="160000"/>
    <n v="130000"/>
    <n v="30000"/>
    <n v="0.1875"/>
  </r>
  <r>
    <s v="O0222"/>
    <x v="103"/>
    <s v="Customer 27"/>
    <x v="2"/>
    <x v="1"/>
    <n v="1"/>
    <n v="45000"/>
    <x v="9"/>
    <x v="0"/>
    <n v="35000"/>
    <s v="HP"/>
    <n v="45000"/>
    <n v="35000"/>
    <n v="10000"/>
    <n v="0.22222222222222221"/>
  </r>
  <r>
    <s v="O0223"/>
    <x v="172"/>
    <s v="Customer 87"/>
    <x v="2"/>
    <x v="8"/>
    <n v="3"/>
    <n v="18000"/>
    <x v="7"/>
    <x v="2"/>
    <n v="12000"/>
    <s v="Kingston"/>
    <n v="54000"/>
    <n v="36000"/>
    <n v="18000"/>
    <n v="0.33333333333333331"/>
  </r>
  <r>
    <s v="O0224"/>
    <x v="175"/>
    <s v="Customer 95"/>
    <x v="6"/>
    <x v="4"/>
    <n v="4"/>
    <n v="60000"/>
    <x v="4"/>
    <x v="0"/>
    <n v="50000"/>
    <s v="LG"/>
    <n v="240000"/>
    <n v="200000"/>
    <n v="40000"/>
    <n v="0.16666666666666666"/>
  </r>
  <r>
    <s v="O0225"/>
    <x v="16"/>
    <s v="Customer 53"/>
    <x v="2"/>
    <x v="7"/>
    <n v="2"/>
    <n v="5000"/>
    <x v="4"/>
    <x v="1"/>
    <n v="3500"/>
    <s v="Logitech"/>
    <n v="10000"/>
    <n v="7000"/>
    <n v="3000"/>
    <n v="0.3"/>
  </r>
  <r>
    <s v="O0226"/>
    <x v="176"/>
    <s v="Customer 100"/>
    <x v="6"/>
    <x v="7"/>
    <n v="1"/>
    <n v="5000"/>
    <x v="7"/>
    <x v="1"/>
    <n v="3500"/>
    <s v="Logitech"/>
    <n v="5000"/>
    <n v="3500"/>
    <n v="1500"/>
    <n v="0.3"/>
  </r>
  <r>
    <s v="O0227"/>
    <x v="177"/>
    <s v="Customer 74"/>
    <x v="6"/>
    <x v="1"/>
    <n v="2"/>
    <n v="45000"/>
    <x v="7"/>
    <x v="0"/>
    <n v="35000"/>
    <s v="HP"/>
    <n v="90000"/>
    <n v="70000"/>
    <n v="20000"/>
    <n v="0.22222222222222221"/>
  </r>
  <r>
    <s v="O0228"/>
    <x v="178"/>
    <s v="Customer 32"/>
    <x v="2"/>
    <x v="4"/>
    <n v="2"/>
    <n v="60000"/>
    <x v="6"/>
    <x v="0"/>
    <n v="50000"/>
    <s v="LG"/>
    <n v="120000"/>
    <n v="100000"/>
    <n v="20000"/>
    <n v="0.16666666666666666"/>
  </r>
  <r>
    <s v="O0229"/>
    <x v="179"/>
    <s v="Customer 17"/>
    <x v="6"/>
    <x v="6"/>
    <n v="4"/>
    <n v="7000"/>
    <x v="7"/>
    <x v="1"/>
    <n v="5000"/>
    <s v="Sony"/>
    <n v="28000"/>
    <n v="20000"/>
    <n v="8000"/>
    <n v="0.2857142857142857"/>
  </r>
  <r>
    <s v="O0230"/>
    <x v="180"/>
    <s v="Customer 50"/>
    <x v="2"/>
    <x v="0"/>
    <n v="3"/>
    <n v="150000"/>
    <x v="3"/>
    <x v="0"/>
    <n v="120000"/>
    <s v="Dell"/>
    <n v="450000"/>
    <n v="360000"/>
    <n v="90000"/>
    <n v="0.2"/>
  </r>
  <r>
    <s v="O0231"/>
    <x v="179"/>
    <s v="Customer 5"/>
    <x v="5"/>
    <x v="7"/>
    <n v="5"/>
    <n v="5000"/>
    <x v="1"/>
    <x v="1"/>
    <n v="3500"/>
    <s v="Logitech"/>
    <n v="25000"/>
    <n v="17500"/>
    <n v="7500"/>
    <n v="0.3"/>
  </r>
  <r>
    <s v="O0232"/>
    <x v="176"/>
    <s v="Customer 48"/>
    <x v="2"/>
    <x v="8"/>
    <n v="5"/>
    <n v="18000"/>
    <x v="4"/>
    <x v="2"/>
    <n v="12000"/>
    <s v="Kingston"/>
    <n v="90000"/>
    <n v="60000"/>
    <n v="30000"/>
    <n v="0.33333333333333331"/>
  </r>
  <r>
    <s v="O0233"/>
    <x v="137"/>
    <s v="Customer 64"/>
    <x v="4"/>
    <x v="2"/>
    <n v="1"/>
    <n v="2500"/>
    <x v="3"/>
    <x v="1"/>
    <n v="1500"/>
    <s v="Logitech"/>
    <n v="2500"/>
    <n v="1500"/>
    <n v="1000"/>
    <n v="0.4"/>
  </r>
  <r>
    <s v="O0234"/>
    <x v="2"/>
    <s v="Customer 100"/>
    <x v="1"/>
    <x v="1"/>
    <n v="4"/>
    <n v="45000"/>
    <x v="2"/>
    <x v="0"/>
    <n v="35000"/>
    <s v="HP"/>
    <n v="180000"/>
    <n v="140000"/>
    <n v="40000"/>
    <n v="0.22222222222222221"/>
  </r>
  <r>
    <s v="O0235"/>
    <x v="167"/>
    <s v="Customer 58"/>
    <x v="2"/>
    <x v="0"/>
    <n v="4"/>
    <n v="150000"/>
    <x v="8"/>
    <x v="0"/>
    <n v="120000"/>
    <s v="Dell"/>
    <n v="600000"/>
    <n v="480000"/>
    <n v="120000"/>
    <n v="0.2"/>
  </r>
  <r>
    <s v="O0236"/>
    <x v="181"/>
    <s v="Customer 65"/>
    <x v="2"/>
    <x v="2"/>
    <n v="3"/>
    <n v="2500"/>
    <x v="4"/>
    <x v="1"/>
    <n v="1500"/>
    <s v="Logitech"/>
    <n v="7500"/>
    <n v="4500"/>
    <n v="3000"/>
    <n v="0.4"/>
  </r>
  <r>
    <s v="O0237"/>
    <x v="11"/>
    <s v="Customer 4"/>
    <x v="7"/>
    <x v="5"/>
    <n v="1"/>
    <n v="9500"/>
    <x v="9"/>
    <x v="1"/>
    <n v="7000"/>
    <s v="Logitech"/>
    <n v="9500"/>
    <n v="7000"/>
    <n v="2500"/>
    <n v="0.26315789473684209"/>
  </r>
  <r>
    <s v="O0238"/>
    <x v="131"/>
    <s v="Customer 91"/>
    <x v="1"/>
    <x v="7"/>
    <n v="3"/>
    <n v="5000"/>
    <x v="7"/>
    <x v="1"/>
    <n v="3500"/>
    <s v="Logitech"/>
    <n v="15000"/>
    <n v="10500"/>
    <n v="4500"/>
    <n v="0.3"/>
  </r>
  <r>
    <s v="O0239"/>
    <x v="181"/>
    <s v="Customer 72"/>
    <x v="6"/>
    <x v="7"/>
    <n v="3"/>
    <n v="5000"/>
    <x v="4"/>
    <x v="1"/>
    <n v="3500"/>
    <s v="Logitech"/>
    <n v="15000"/>
    <n v="10500"/>
    <n v="4500"/>
    <n v="0.3"/>
  </r>
  <r>
    <s v="O0240"/>
    <x v="182"/>
    <s v="Customer 95"/>
    <x v="2"/>
    <x v="3"/>
    <n v="1"/>
    <n v="2000"/>
    <x v="9"/>
    <x v="2"/>
    <n v="1200"/>
    <s v="SanDisk"/>
    <n v="2000"/>
    <n v="1200"/>
    <n v="800"/>
    <n v="0.4"/>
  </r>
  <r>
    <s v="O0241"/>
    <x v="183"/>
    <s v="Customer 29"/>
    <x v="6"/>
    <x v="3"/>
    <n v="1"/>
    <n v="2000"/>
    <x v="8"/>
    <x v="2"/>
    <n v="1200"/>
    <s v="SanDisk"/>
    <n v="2000"/>
    <n v="1200"/>
    <n v="800"/>
    <n v="0.4"/>
  </r>
  <r>
    <s v="O0242"/>
    <x v="184"/>
    <s v="Customer 4"/>
    <x v="7"/>
    <x v="1"/>
    <n v="1"/>
    <n v="45000"/>
    <x v="9"/>
    <x v="0"/>
    <n v="35000"/>
    <s v="HP"/>
    <n v="45000"/>
    <n v="35000"/>
    <n v="10000"/>
    <n v="0.22222222222222221"/>
  </r>
  <r>
    <s v="O0243"/>
    <x v="185"/>
    <s v="Customer 91"/>
    <x v="6"/>
    <x v="3"/>
    <n v="1"/>
    <n v="2000"/>
    <x v="0"/>
    <x v="2"/>
    <n v="1200"/>
    <s v="SanDisk"/>
    <n v="2000"/>
    <n v="1200"/>
    <n v="800"/>
    <n v="0.4"/>
  </r>
  <r>
    <s v="O0244"/>
    <x v="186"/>
    <s v="Customer 26"/>
    <x v="6"/>
    <x v="4"/>
    <n v="5"/>
    <n v="60000"/>
    <x v="8"/>
    <x v="0"/>
    <n v="50000"/>
    <s v="LG"/>
    <n v="300000"/>
    <n v="250000"/>
    <n v="50000"/>
    <n v="0.16666666666666666"/>
  </r>
  <r>
    <s v="O0245"/>
    <x v="33"/>
    <s v="Customer 19"/>
    <x v="1"/>
    <x v="9"/>
    <n v="5"/>
    <n v="80000"/>
    <x v="7"/>
    <x v="0"/>
    <n v="65000"/>
    <s v="Samsung"/>
    <n v="400000"/>
    <n v="325000"/>
    <n v="75000"/>
    <n v="0.1875"/>
  </r>
  <r>
    <s v="O0246"/>
    <x v="187"/>
    <s v="Customer 48"/>
    <x v="0"/>
    <x v="0"/>
    <n v="3"/>
    <n v="150000"/>
    <x v="8"/>
    <x v="0"/>
    <n v="120000"/>
    <s v="Dell"/>
    <n v="450000"/>
    <n v="360000"/>
    <n v="90000"/>
    <n v="0.2"/>
  </r>
  <r>
    <s v="O0247"/>
    <x v="75"/>
    <s v="Customer 9"/>
    <x v="3"/>
    <x v="3"/>
    <n v="4"/>
    <n v="2000"/>
    <x v="5"/>
    <x v="2"/>
    <n v="1200"/>
    <s v="SanDisk"/>
    <n v="8000"/>
    <n v="4800"/>
    <n v="3200"/>
    <n v="0.4"/>
  </r>
  <r>
    <s v="O0248"/>
    <x v="188"/>
    <s v="Customer 75"/>
    <x v="7"/>
    <x v="0"/>
    <n v="1"/>
    <n v="150000"/>
    <x v="2"/>
    <x v="0"/>
    <n v="120000"/>
    <s v="Dell"/>
    <n v="150000"/>
    <n v="120000"/>
    <n v="30000"/>
    <n v="0.2"/>
  </r>
  <r>
    <s v="O0249"/>
    <x v="148"/>
    <s v="Customer 69"/>
    <x v="6"/>
    <x v="8"/>
    <n v="5"/>
    <n v="18000"/>
    <x v="5"/>
    <x v="2"/>
    <n v="12000"/>
    <s v="Kingston"/>
    <n v="90000"/>
    <n v="60000"/>
    <n v="30000"/>
    <n v="0.33333333333333331"/>
  </r>
  <r>
    <s v="O0250"/>
    <x v="113"/>
    <s v="Customer 99"/>
    <x v="1"/>
    <x v="9"/>
    <n v="1"/>
    <n v="80000"/>
    <x v="2"/>
    <x v="0"/>
    <n v="65000"/>
    <s v="Samsung"/>
    <n v="80000"/>
    <n v="65000"/>
    <n v="15000"/>
    <n v="0.1875"/>
  </r>
  <r>
    <s v="O0251"/>
    <x v="189"/>
    <s v="Customer 79"/>
    <x v="0"/>
    <x v="7"/>
    <n v="1"/>
    <n v="5000"/>
    <x v="2"/>
    <x v="1"/>
    <n v="3500"/>
    <s v="Logitech"/>
    <n v="5000"/>
    <n v="3500"/>
    <n v="1500"/>
    <n v="0.3"/>
  </r>
  <r>
    <s v="O0252"/>
    <x v="39"/>
    <s v="Customer 4"/>
    <x v="5"/>
    <x v="5"/>
    <n v="2"/>
    <n v="9500"/>
    <x v="7"/>
    <x v="1"/>
    <n v="7000"/>
    <s v="Logitech"/>
    <n v="19000"/>
    <n v="14000"/>
    <n v="5000"/>
    <n v="0.26315789473684209"/>
  </r>
  <r>
    <s v="O0253"/>
    <x v="153"/>
    <s v="Customer 13"/>
    <x v="1"/>
    <x v="8"/>
    <n v="1"/>
    <n v="18000"/>
    <x v="7"/>
    <x v="2"/>
    <n v="12000"/>
    <s v="Kingston"/>
    <n v="18000"/>
    <n v="12000"/>
    <n v="6000"/>
    <n v="0.33333333333333331"/>
  </r>
  <r>
    <s v="O0254"/>
    <x v="35"/>
    <s v="Customer 39"/>
    <x v="4"/>
    <x v="6"/>
    <n v="3"/>
    <n v="7000"/>
    <x v="8"/>
    <x v="1"/>
    <n v="5000"/>
    <s v="Sony"/>
    <n v="21000"/>
    <n v="15000"/>
    <n v="6000"/>
    <n v="0.2857142857142857"/>
  </r>
  <r>
    <s v="O0255"/>
    <x v="190"/>
    <s v="Customer 39"/>
    <x v="2"/>
    <x v="9"/>
    <n v="1"/>
    <n v="80000"/>
    <x v="3"/>
    <x v="0"/>
    <n v="65000"/>
    <s v="Samsung"/>
    <n v="80000"/>
    <n v="65000"/>
    <n v="15000"/>
    <n v="0.1875"/>
  </r>
  <r>
    <s v="O0256"/>
    <x v="191"/>
    <s v="Customer 45"/>
    <x v="6"/>
    <x v="8"/>
    <n v="2"/>
    <n v="18000"/>
    <x v="5"/>
    <x v="2"/>
    <n v="12000"/>
    <s v="Kingston"/>
    <n v="36000"/>
    <n v="24000"/>
    <n v="12000"/>
    <n v="0.33333333333333331"/>
  </r>
  <r>
    <s v="O0257"/>
    <x v="192"/>
    <s v="Customer 89"/>
    <x v="4"/>
    <x v="2"/>
    <n v="1"/>
    <n v="2500"/>
    <x v="9"/>
    <x v="1"/>
    <n v="1500"/>
    <s v="Logitech"/>
    <n v="2500"/>
    <n v="1500"/>
    <n v="1000"/>
    <n v="0.4"/>
  </r>
  <r>
    <s v="O0258"/>
    <x v="193"/>
    <s v="Customer 6"/>
    <x v="6"/>
    <x v="8"/>
    <n v="4"/>
    <n v="18000"/>
    <x v="2"/>
    <x v="2"/>
    <n v="12000"/>
    <s v="Kingston"/>
    <n v="72000"/>
    <n v="48000"/>
    <n v="24000"/>
    <n v="0.33333333333333331"/>
  </r>
  <r>
    <s v="O0259"/>
    <x v="194"/>
    <s v="Customer 67"/>
    <x v="1"/>
    <x v="6"/>
    <n v="2"/>
    <n v="7000"/>
    <x v="6"/>
    <x v="1"/>
    <n v="5000"/>
    <s v="Sony"/>
    <n v="14000"/>
    <n v="10000"/>
    <n v="4000"/>
    <n v="0.2857142857142857"/>
  </r>
  <r>
    <s v="O0260"/>
    <x v="189"/>
    <s v="Customer 57"/>
    <x v="4"/>
    <x v="8"/>
    <n v="2"/>
    <n v="18000"/>
    <x v="6"/>
    <x v="2"/>
    <n v="12000"/>
    <s v="Kingston"/>
    <n v="36000"/>
    <n v="24000"/>
    <n v="12000"/>
    <n v="0.33333333333333331"/>
  </r>
  <r>
    <s v="O0261"/>
    <x v="141"/>
    <s v="Customer 57"/>
    <x v="3"/>
    <x v="3"/>
    <n v="5"/>
    <n v="2000"/>
    <x v="7"/>
    <x v="2"/>
    <n v="1200"/>
    <s v="SanDisk"/>
    <n v="10000"/>
    <n v="6000"/>
    <n v="4000"/>
    <n v="0.4"/>
  </r>
  <r>
    <s v="O0262"/>
    <x v="46"/>
    <s v="Customer 19"/>
    <x v="2"/>
    <x v="4"/>
    <n v="4"/>
    <n v="60000"/>
    <x v="5"/>
    <x v="0"/>
    <n v="50000"/>
    <s v="LG"/>
    <n v="240000"/>
    <n v="200000"/>
    <n v="40000"/>
    <n v="0.16666666666666666"/>
  </r>
  <r>
    <s v="O0263"/>
    <x v="195"/>
    <s v="Customer 56"/>
    <x v="1"/>
    <x v="6"/>
    <n v="2"/>
    <n v="7000"/>
    <x v="2"/>
    <x v="1"/>
    <n v="5000"/>
    <s v="Sony"/>
    <n v="14000"/>
    <n v="10000"/>
    <n v="4000"/>
    <n v="0.2857142857142857"/>
  </r>
  <r>
    <s v="O0264"/>
    <x v="119"/>
    <s v="Customer 85"/>
    <x v="3"/>
    <x v="5"/>
    <n v="2"/>
    <n v="9500"/>
    <x v="4"/>
    <x v="1"/>
    <n v="7000"/>
    <s v="Logitech"/>
    <n v="19000"/>
    <n v="14000"/>
    <n v="5000"/>
    <n v="0.26315789473684209"/>
  </r>
  <r>
    <s v="O0265"/>
    <x v="139"/>
    <s v="Customer 10"/>
    <x v="7"/>
    <x v="1"/>
    <n v="3"/>
    <n v="45000"/>
    <x v="5"/>
    <x v="0"/>
    <n v="35000"/>
    <s v="HP"/>
    <n v="135000"/>
    <n v="105000"/>
    <n v="30000"/>
    <n v="0.22222222222222221"/>
  </r>
  <r>
    <s v="O0266"/>
    <x v="6"/>
    <s v="Customer 63"/>
    <x v="4"/>
    <x v="9"/>
    <n v="2"/>
    <n v="80000"/>
    <x v="0"/>
    <x v="0"/>
    <n v="65000"/>
    <s v="Samsung"/>
    <n v="160000"/>
    <n v="130000"/>
    <n v="30000"/>
    <n v="0.1875"/>
  </r>
  <r>
    <s v="O0267"/>
    <x v="196"/>
    <s v="Customer 51"/>
    <x v="0"/>
    <x v="6"/>
    <n v="3"/>
    <n v="7000"/>
    <x v="6"/>
    <x v="1"/>
    <n v="5000"/>
    <s v="Sony"/>
    <n v="21000"/>
    <n v="15000"/>
    <n v="6000"/>
    <n v="0.2857142857142857"/>
  </r>
  <r>
    <s v="O0268"/>
    <x v="197"/>
    <s v="Customer 29"/>
    <x v="7"/>
    <x v="5"/>
    <n v="4"/>
    <n v="9500"/>
    <x v="6"/>
    <x v="1"/>
    <n v="7000"/>
    <s v="Logitech"/>
    <n v="38000"/>
    <n v="28000"/>
    <n v="10000"/>
    <n v="0.26315789473684209"/>
  </r>
  <r>
    <s v="O0269"/>
    <x v="21"/>
    <s v="Customer 37"/>
    <x v="0"/>
    <x v="2"/>
    <n v="5"/>
    <n v="2500"/>
    <x v="2"/>
    <x v="1"/>
    <n v="1500"/>
    <s v="Logitech"/>
    <n v="12500"/>
    <n v="7500"/>
    <n v="5000"/>
    <n v="0.4"/>
  </r>
  <r>
    <s v="O0270"/>
    <x v="109"/>
    <s v="Customer 48"/>
    <x v="1"/>
    <x v="3"/>
    <n v="5"/>
    <n v="2000"/>
    <x v="9"/>
    <x v="2"/>
    <n v="1200"/>
    <s v="SanDisk"/>
    <n v="10000"/>
    <n v="6000"/>
    <n v="4000"/>
    <n v="0.4"/>
  </r>
  <r>
    <s v="O0271"/>
    <x v="198"/>
    <s v="Customer 67"/>
    <x v="4"/>
    <x v="0"/>
    <n v="4"/>
    <n v="150000"/>
    <x v="4"/>
    <x v="0"/>
    <n v="120000"/>
    <s v="Dell"/>
    <n v="600000"/>
    <n v="480000"/>
    <n v="120000"/>
    <n v="0.2"/>
  </r>
  <r>
    <s v="O0272"/>
    <x v="174"/>
    <s v="Customer 23"/>
    <x v="1"/>
    <x v="5"/>
    <n v="1"/>
    <n v="9500"/>
    <x v="3"/>
    <x v="1"/>
    <n v="7000"/>
    <s v="Logitech"/>
    <n v="9500"/>
    <n v="7000"/>
    <n v="2500"/>
    <n v="0.26315789473684209"/>
  </r>
  <r>
    <s v="O0273"/>
    <x v="94"/>
    <s v="Customer 6"/>
    <x v="4"/>
    <x v="8"/>
    <n v="2"/>
    <n v="18000"/>
    <x v="6"/>
    <x v="2"/>
    <n v="12000"/>
    <s v="Kingston"/>
    <n v="36000"/>
    <n v="24000"/>
    <n v="12000"/>
    <n v="0.33333333333333331"/>
  </r>
  <r>
    <s v="O0274"/>
    <x v="33"/>
    <s v="Customer 29"/>
    <x v="0"/>
    <x v="1"/>
    <n v="5"/>
    <n v="45000"/>
    <x v="1"/>
    <x v="0"/>
    <n v="35000"/>
    <s v="HP"/>
    <n v="225000"/>
    <n v="175000"/>
    <n v="50000"/>
    <n v="0.22222222222222221"/>
  </r>
  <r>
    <s v="O0275"/>
    <x v="4"/>
    <s v="Customer 40"/>
    <x v="0"/>
    <x v="4"/>
    <n v="4"/>
    <n v="60000"/>
    <x v="5"/>
    <x v="0"/>
    <n v="50000"/>
    <s v="LG"/>
    <n v="240000"/>
    <n v="200000"/>
    <n v="40000"/>
    <n v="0.16666666666666666"/>
  </r>
  <r>
    <s v="O0276"/>
    <x v="199"/>
    <s v="Customer 5"/>
    <x v="0"/>
    <x v="1"/>
    <n v="2"/>
    <n v="45000"/>
    <x v="4"/>
    <x v="0"/>
    <n v="35000"/>
    <s v="HP"/>
    <n v="90000"/>
    <n v="70000"/>
    <n v="20000"/>
    <n v="0.22222222222222221"/>
  </r>
  <r>
    <s v="O0277"/>
    <x v="200"/>
    <s v="Customer 73"/>
    <x v="3"/>
    <x v="6"/>
    <n v="2"/>
    <n v="7000"/>
    <x v="9"/>
    <x v="1"/>
    <n v="5000"/>
    <s v="Sony"/>
    <n v="14000"/>
    <n v="10000"/>
    <n v="4000"/>
    <n v="0.2857142857142857"/>
  </r>
  <r>
    <s v="O0278"/>
    <x v="201"/>
    <s v="Customer 28"/>
    <x v="3"/>
    <x v="3"/>
    <n v="1"/>
    <n v="2000"/>
    <x v="9"/>
    <x v="2"/>
    <n v="1200"/>
    <s v="SanDisk"/>
    <n v="2000"/>
    <n v="1200"/>
    <n v="800"/>
    <n v="0.4"/>
  </r>
  <r>
    <s v="O0279"/>
    <x v="118"/>
    <s v="Customer 20"/>
    <x v="5"/>
    <x v="9"/>
    <n v="1"/>
    <n v="80000"/>
    <x v="0"/>
    <x v="0"/>
    <n v="65000"/>
    <s v="Samsung"/>
    <n v="80000"/>
    <n v="65000"/>
    <n v="15000"/>
    <n v="0.1875"/>
  </r>
  <r>
    <s v="O0280"/>
    <x v="23"/>
    <s v="Customer 40"/>
    <x v="3"/>
    <x v="1"/>
    <n v="4"/>
    <n v="45000"/>
    <x v="3"/>
    <x v="0"/>
    <n v="35000"/>
    <s v="HP"/>
    <n v="180000"/>
    <n v="140000"/>
    <n v="40000"/>
    <n v="0.22222222222222221"/>
  </r>
  <r>
    <s v="O0281"/>
    <x v="153"/>
    <s v="Customer 26"/>
    <x v="0"/>
    <x v="8"/>
    <n v="3"/>
    <n v="18000"/>
    <x v="8"/>
    <x v="2"/>
    <n v="12000"/>
    <s v="Kingston"/>
    <n v="54000"/>
    <n v="36000"/>
    <n v="18000"/>
    <n v="0.33333333333333331"/>
  </r>
  <r>
    <s v="O0282"/>
    <x v="129"/>
    <s v="Customer 46"/>
    <x v="3"/>
    <x v="4"/>
    <n v="1"/>
    <n v="60000"/>
    <x v="4"/>
    <x v="0"/>
    <n v="50000"/>
    <s v="LG"/>
    <n v="60000"/>
    <n v="50000"/>
    <n v="10000"/>
    <n v="0.16666666666666666"/>
  </r>
  <r>
    <s v="O0283"/>
    <x v="157"/>
    <s v="Customer 37"/>
    <x v="3"/>
    <x v="4"/>
    <n v="3"/>
    <n v="60000"/>
    <x v="8"/>
    <x v="0"/>
    <n v="50000"/>
    <s v="LG"/>
    <n v="180000"/>
    <n v="150000"/>
    <n v="30000"/>
    <n v="0.16666666666666666"/>
  </r>
  <r>
    <s v="O0284"/>
    <x v="81"/>
    <s v="Customer 45"/>
    <x v="3"/>
    <x v="0"/>
    <n v="4"/>
    <n v="150000"/>
    <x v="7"/>
    <x v="0"/>
    <n v="120000"/>
    <s v="Dell"/>
    <n v="600000"/>
    <n v="480000"/>
    <n v="120000"/>
    <n v="0.2"/>
  </r>
  <r>
    <s v="O0285"/>
    <x v="9"/>
    <s v="Customer 3"/>
    <x v="2"/>
    <x v="0"/>
    <n v="1"/>
    <n v="150000"/>
    <x v="3"/>
    <x v="0"/>
    <n v="120000"/>
    <s v="Dell"/>
    <n v="150000"/>
    <n v="120000"/>
    <n v="30000"/>
    <n v="0.2"/>
  </r>
  <r>
    <s v="O0286"/>
    <x v="157"/>
    <s v="Customer 52"/>
    <x v="0"/>
    <x v="9"/>
    <n v="2"/>
    <n v="80000"/>
    <x v="1"/>
    <x v="0"/>
    <n v="65000"/>
    <s v="Samsung"/>
    <n v="160000"/>
    <n v="130000"/>
    <n v="30000"/>
    <n v="0.1875"/>
  </r>
  <r>
    <s v="O0287"/>
    <x v="202"/>
    <s v="Customer 46"/>
    <x v="6"/>
    <x v="2"/>
    <n v="4"/>
    <n v="2500"/>
    <x v="1"/>
    <x v="1"/>
    <n v="1500"/>
    <s v="Logitech"/>
    <n v="10000"/>
    <n v="6000"/>
    <n v="4000"/>
    <n v="0.4"/>
  </r>
  <r>
    <s v="O0288"/>
    <x v="118"/>
    <s v="Customer 92"/>
    <x v="1"/>
    <x v="9"/>
    <n v="4"/>
    <n v="80000"/>
    <x v="9"/>
    <x v="0"/>
    <n v="65000"/>
    <s v="Samsung"/>
    <n v="320000"/>
    <n v="260000"/>
    <n v="60000"/>
    <n v="0.1875"/>
  </r>
  <r>
    <s v="O0289"/>
    <x v="203"/>
    <s v="Customer 46"/>
    <x v="2"/>
    <x v="0"/>
    <n v="3"/>
    <n v="150000"/>
    <x v="0"/>
    <x v="0"/>
    <n v="120000"/>
    <s v="Dell"/>
    <n v="450000"/>
    <n v="360000"/>
    <n v="90000"/>
    <n v="0.2"/>
  </r>
  <r>
    <s v="O0290"/>
    <x v="204"/>
    <s v="Customer 61"/>
    <x v="5"/>
    <x v="0"/>
    <n v="5"/>
    <n v="150000"/>
    <x v="9"/>
    <x v="0"/>
    <n v="120000"/>
    <s v="Dell"/>
    <n v="750000"/>
    <n v="600000"/>
    <n v="150000"/>
    <n v="0.2"/>
  </r>
  <r>
    <s v="O0291"/>
    <x v="205"/>
    <s v="Customer 5"/>
    <x v="4"/>
    <x v="7"/>
    <n v="1"/>
    <n v="5000"/>
    <x v="1"/>
    <x v="1"/>
    <n v="3500"/>
    <s v="Logitech"/>
    <n v="5000"/>
    <n v="3500"/>
    <n v="1500"/>
    <n v="0.3"/>
  </r>
  <r>
    <s v="O0292"/>
    <x v="85"/>
    <s v="Customer 8"/>
    <x v="2"/>
    <x v="3"/>
    <n v="5"/>
    <n v="2000"/>
    <x v="6"/>
    <x v="2"/>
    <n v="1200"/>
    <s v="SanDisk"/>
    <n v="10000"/>
    <n v="6000"/>
    <n v="4000"/>
    <n v="0.4"/>
  </r>
  <r>
    <s v="O0293"/>
    <x v="85"/>
    <s v="Customer 64"/>
    <x v="6"/>
    <x v="8"/>
    <n v="1"/>
    <n v="18000"/>
    <x v="0"/>
    <x v="2"/>
    <n v="12000"/>
    <s v="Kingston"/>
    <n v="18000"/>
    <n v="12000"/>
    <n v="6000"/>
    <n v="0.33333333333333331"/>
  </r>
  <r>
    <s v="O0294"/>
    <x v="113"/>
    <s v="Customer 68"/>
    <x v="6"/>
    <x v="1"/>
    <n v="1"/>
    <n v="45000"/>
    <x v="4"/>
    <x v="0"/>
    <n v="35000"/>
    <s v="HP"/>
    <n v="45000"/>
    <n v="35000"/>
    <n v="10000"/>
    <n v="0.22222222222222221"/>
  </r>
  <r>
    <s v="O0295"/>
    <x v="55"/>
    <s v="Customer 9"/>
    <x v="2"/>
    <x v="8"/>
    <n v="1"/>
    <n v="18000"/>
    <x v="6"/>
    <x v="2"/>
    <n v="12000"/>
    <s v="Kingston"/>
    <n v="18000"/>
    <n v="12000"/>
    <n v="6000"/>
    <n v="0.33333333333333331"/>
  </r>
  <r>
    <s v="O0296"/>
    <x v="146"/>
    <s v="Customer 59"/>
    <x v="4"/>
    <x v="9"/>
    <n v="1"/>
    <n v="80000"/>
    <x v="9"/>
    <x v="0"/>
    <n v="65000"/>
    <s v="Samsung"/>
    <n v="80000"/>
    <n v="65000"/>
    <n v="15000"/>
    <n v="0.1875"/>
  </r>
  <r>
    <s v="O0297"/>
    <x v="206"/>
    <s v="Customer 21"/>
    <x v="2"/>
    <x v="6"/>
    <n v="4"/>
    <n v="7000"/>
    <x v="5"/>
    <x v="1"/>
    <n v="5000"/>
    <s v="Sony"/>
    <n v="28000"/>
    <n v="20000"/>
    <n v="8000"/>
    <n v="0.2857142857142857"/>
  </r>
  <r>
    <s v="O0298"/>
    <x v="168"/>
    <s v="Customer 40"/>
    <x v="0"/>
    <x v="9"/>
    <n v="2"/>
    <n v="80000"/>
    <x v="5"/>
    <x v="0"/>
    <n v="65000"/>
    <s v="Samsung"/>
    <n v="160000"/>
    <n v="130000"/>
    <n v="30000"/>
    <n v="0.1875"/>
  </r>
  <r>
    <s v="O0299"/>
    <x v="207"/>
    <s v="Customer 56"/>
    <x v="0"/>
    <x v="1"/>
    <n v="2"/>
    <n v="45000"/>
    <x v="7"/>
    <x v="0"/>
    <n v="35000"/>
    <s v="HP"/>
    <n v="90000"/>
    <n v="70000"/>
    <n v="20000"/>
    <n v="0.22222222222222221"/>
  </r>
  <r>
    <s v="O0300"/>
    <x v="208"/>
    <s v="Customer 93"/>
    <x v="6"/>
    <x v="3"/>
    <n v="1"/>
    <n v="2000"/>
    <x v="9"/>
    <x v="2"/>
    <n v="1200"/>
    <s v="SanDisk"/>
    <n v="2000"/>
    <n v="1200"/>
    <n v="800"/>
    <n v="0.4"/>
  </r>
  <r>
    <s v="O0301"/>
    <x v="209"/>
    <s v="Customer 50"/>
    <x v="2"/>
    <x v="9"/>
    <n v="4"/>
    <n v="80000"/>
    <x v="0"/>
    <x v="0"/>
    <n v="65000"/>
    <s v="Samsung"/>
    <n v="320000"/>
    <n v="260000"/>
    <n v="60000"/>
    <n v="0.1875"/>
  </r>
  <r>
    <s v="O0302"/>
    <x v="210"/>
    <s v="Customer 52"/>
    <x v="5"/>
    <x v="7"/>
    <n v="5"/>
    <n v="5000"/>
    <x v="2"/>
    <x v="1"/>
    <n v="3500"/>
    <s v="Logitech"/>
    <n v="25000"/>
    <n v="17500"/>
    <n v="7500"/>
    <n v="0.3"/>
  </r>
  <r>
    <s v="O0303"/>
    <x v="211"/>
    <s v="Customer 25"/>
    <x v="3"/>
    <x v="9"/>
    <n v="2"/>
    <n v="80000"/>
    <x v="2"/>
    <x v="0"/>
    <n v="65000"/>
    <s v="Samsung"/>
    <n v="160000"/>
    <n v="130000"/>
    <n v="30000"/>
    <n v="0.1875"/>
  </r>
  <r>
    <s v="O0304"/>
    <x v="11"/>
    <s v="Customer 47"/>
    <x v="2"/>
    <x v="2"/>
    <n v="1"/>
    <n v="2500"/>
    <x v="4"/>
    <x v="1"/>
    <n v="1500"/>
    <s v="Logitech"/>
    <n v="2500"/>
    <n v="1500"/>
    <n v="1000"/>
    <n v="0.4"/>
  </r>
  <r>
    <s v="O0305"/>
    <x v="212"/>
    <s v="Customer 50"/>
    <x v="4"/>
    <x v="8"/>
    <n v="2"/>
    <n v="18000"/>
    <x v="4"/>
    <x v="2"/>
    <n v="12000"/>
    <s v="Kingston"/>
    <n v="36000"/>
    <n v="24000"/>
    <n v="12000"/>
    <n v="0.33333333333333331"/>
  </r>
  <r>
    <s v="O0306"/>
    <x v="9"/>
    <s v="Customer 91"/>
    <x v="2"/>
    <x v="3"/>
    <n v="5"/>
    <n v="2000"/>
    <x v="2"/>
    <x v="2"/>
    <n v="1200"/>
    <s v="SanDisk"/>
    <n v="10000"/>
    <n v="6000"/>
    <n v="4000"/>
    <n v="0.4"/>
  </r>
  <r>
    <s v="O0307"/>
    <x v="119"/>
    <s v="Customer 72"/>
    <x v="4"/>
    <x v="6"/>
    <n v="5"/>
    <n v="7000"/>
    <x v="5"/>
    <x v="1"/>
    <n v="5000"/>
    <s v="Sony"/>
    <n v="35000"/>
    <n v="25000"/>
    <n v="10000"/>
    <n v="0.2857142857142857"/>
  </r>
  <r>
    <s v="O0308"/>
    <x v="116"/>
    <s v="Customer 88"/>
    <x v="4"/>
    <x v="9"/>
    <n v="4"/>
    <n v="80000"/>
    <x v="9"/>
    <x v="0"/>
    <n v="65000"/>
    <s v="Samsung"/>
    <n v="320000"/>
    <n v="260000"/>
    <n v="60000"/>
    <n v="0.1875"/>
  </r>
  <r>
    <s v="O0309"/>
    <x v="44"/>
    <s v="Customer 68"/>
    <x v="3"/>
    <x v="5"/>
    <n v="5"/>
    <n v="9500"/>
    <x v="6"/>
    <x v="1"/>
    <n v="7000"/>
    <s v="Logitech"/>
    <n v="47500"/>
    <n v="35000"/>
    <n v="12500"/>
    <n v="0.26315789473684209"/>
  </r>
  <r>
    <s v="O0310"/>
    <x v="213"/>
    <s v="Customer 30"/>
    <x v="7"/>
    <x v="4"/>
    <n v="2"/>
    <n v="60000"/>
    <x v="6"/>
    <x v="0"/>
    <n v="50000"/>
    <s v="LG"/>
    <n v="120000"/>
    <n v="100000"/>
    <n v="20000"/>
    <n v="0.16666666666666666"/>
  </r>
  <r>
    <s v="O0311"/>
    <x v="214"/>
    <s v="Customer 27"/>
    <x v="7"/>
    <x v="4"/>
    <n v="3"/>
    <n v="60000"/>
    <x v="9"/>
    <x v="0"/>
    <n v="50000"/>
    <s v="LG"/>
    <n v="180000"/>
    <n v="150000"/>
    <n v="30000"/>
    <n v="0.16666666666666666"/>
  </r>
  <r>
    <s v="O0312"/>
    <x v="215"/>
    <s v="Customer 21"/>
    <x v="4"/>
    <x v="1"/>
    <n v="4"/>
    <n v="45000"/>
    <x v="0"/>
    <x v="0"/>
    <n v="35000"/>
    <s v="HP"/>
    <n v="180000"/>
    <n v="140000"/>
    <n v="40000"/>
    <n v="0.22222222222222221"/>
  </r>
  <r>
    <s v="O0313"/>
    <x v="176"/>
    <s v="Customer 24"/>
    <x v="3"/>
    <x v="0"/>
    <n v="1"/>
    <n v="150000"/>
    <x v="9"/>
    <x v="0"/>
    <n v="120000"/>
    <s v="Dell"/>
    <n v="150000"/>
    <n v="120000"/>
    <n v="30000"/>
    <n v="0.2"/>
  </r>
  <r>
    <s v="O0314"/>
    <x v="216"/>
    <s v="Customer 38"/>
    <x v="0"/>
    <x v="2"/>
    <n v="2"/>
    <n v="2500"/>
    <x v="3"/>
    <x v="1"/>
    <n v="1500"/>
    <s v="Logitech"/>
    <n v="5000"/>
    <n v="3000"/>
    <n v="2000"/>
    <n v="0.4"/>
  </r>
  <r>
    <s v="O0315"/>
    <x v="47"/>
    <s v="Customer 65"/>
    <x v="6"/>
    <x v="8"/>
    <n v="1"/>
    <n v="18000"/>
    <x v="7"/>
    <x v="2"/>
    <n v="12000"/>
    <s v="Kingston"/>
    <n v="18000"/>
    <n v="12000"/>
    <n v="6000"/>
    <n v="0.33333333333333331"/>
  </r>
  <r>
    <s v="O0316"/>
    <x v="217"/>
    <s v="Customer 25"/>
    <x v="1"/>
    <x v="3"/>
    <n v="5"/>
    <n v="2000"/>
    <x v="3"/>
    <x v="2"/>
    <n v="1200"/>
    <s v="SanDisk"/>
    <n v="10000"/>
    <n v="6000"/>
    <n v="4000"/>
    <n v="0.4"/>
  </r>
  <r>
    <s v="O0317"/>
    <x v="218"/>
    <s v="Customer 89"/>
    <x v="7"/>
    <x v="5"/>
    <n v="5"/>
    <n v="9500"/>
    <x v="0"/>
    <x v="1"/>
    <n v="7000"/>
    <s v="Logitech"/>
    <n v="47500"/>
    <n v="35000"/>
    <n v="12500"/>
    <n v="0.26315789473684209"/>
  </r>
  <r>
    <s v="O0318"/>
    <x v="219"/>
    <s v="Customer 28"/>
    <x v="0"/>
    <x v="3"/>
    <n v="3"/>
    <n v="2000"/>
    <x v="7"/>
    <x v="2"/>
    <n v="1200"/>
    <s v="SanDisk"/>
    <n v="6000"/>
    <n v="3600"/>
    <n v="2400"/>
    <n v="0.4"/>
  </r>
  <r>
    <s v="O0319"/>
    <x v="220"/>
    <s v="Customer 68"/>
    <x v="3"/>
    <x v="0"/>
    <n v="3"/>
    <n v="150000"/>
    <x v="0"/>
    <x v="0"/>
    <n v="120000"/>
    <s v="Dell"/>
    <n v="450000"/>
    <n v="360000"/>
    <n v="90000"/>
    <n v="0.2"/>
  </r>
  <r>
    <s v="O0320"/>
    <x v="221"/>
    <s v="Customer 88"/>
    <x v="0"/>
    <x v="2"/>
    <n v="5"/>
    <n v="2500"/>
    <x v="3"/>
    <x v="1"/>
    <n v="1500"/>
    <s v="Logitech"/>
    <n v="12500"/>
    <n v="7500"/>
    <n v="5000"/>
    <n v="0.4"/>
  </r>
  <r>
    <s v="O0321"/>
    <x v="19"/>
    <s v="Customer 85"/>
    <x v="4"/>
    <x v="7"/>
    <n v="3"/>
    <n v="5000"/>
    <x v="7"/>
    <x v="1"/>
    <n v="3500"/>
    <s v="Logitech"/>
    <n v="15000"/>
    <n v="10500"/>
    <n v="4500"/>
    <n v="0.3"/>
  </r>
  <r>
    <s v="O0322"/>
    <x v="209"/>
    <s v="Customer 39"/>
    <x v="3"/>
    <x v="0"/>
    <n v="5"/>
    <n v="150000"/>
    <x v="5"/>
    <x v="0"/>
    <n v="120000"/>
    <s v="Dell"/>
    <n v="750000"/>
    <n v="600000"/>
    <n v="150000"/>
    <n v="0.2"/>
  </r>
  <r>
    <s v="O0323"/>
    <x v="222"/>
    <s v="Customer 55"/>
    <x v="1"/>
    <x v="9"/>
    <n v="3"/>
    <n v="80000"/>
    <x v="2"/>
    <x v="0"/>
    <n v="65000"/>
    <s v="Samsung"/>
    <n v="240000"/>
    <n v="195000"/>
    <n v="45000"/>
    <n v="0.1875"/>
  </r>
  <r>
    <s v="O0324"/>
    <x v="210"/>
    <s v="Customer 68"/>
    <x v="2"/>
    <x v="9"/>
    <n v="4"/>
    <n v="80000"/>
    <x v="5"/>
    <x v="0"/>
    <n v="65000"/>
    <s v="Samsung"/>
    <n v="320000"/>
    <n v="260000"/>
    <n v="60000"/>
    <n v="0.1875"/>
  </r>
  <r>
    <s v="O0325"/>
    <x v="223"/>
    <s v="Customer 53"/>
    <x v="6"/>
    <x v="1"/>
    <n v="2"/>
    <n v="45000"/>
    <x v="3"/>
    <x v="0"/>
    <n v="35000"/>
    <s v="HP"/>
    <n v="90000"/>
    <n v="70000"/>
    <n v="20000"/>
    <n v="0.22222222222222221"/>
  </r>
  <r>
    <s v="O0326"/>
    <x v="21"/>
    <s v="Customer 79"/>
    <x v="0"/>
    <x v="6"/>
    <n v="1"/>
    <n v="7000"/>
    <x v="0"/>
    <x v="1"/>
    <n v="5000"/>
    <s v="Sony"/>
    <n v="7000"/>
    <n v="5000"/>
    <n v="2000"/>
    <n v="0.2857142857142857"/>
  </r>
  <r>
    <s v="O0327"/>
    <x v="224"/>
    <s v="Customer 21"/>
    <x v="6"/>
    <x v="3"/>
    <n v="1"/>
    <n v="2000"/>
    <x v="1"/>
    <x v="2"/>
    <n v="1200"/>
    <s v="SanDisk"/>
    <n v="2000"/>
    <n v="1200"/>
    <n v="800"/>
    <n v="0.4"/>
  </r>
  <r>
    <s v="O0328"/>
    <x v="150"/>
    <s v="Customer 99"/>
    <x v="2"/>
    <x v="2"/>
    <n v="4"/>
    <n v="2500"/>
    <x v="0"/>
    <x v="1"/>
    <n v="1500"/>
    <s v="Logitech"/>
    <n v="10000"/>
    <n v="6000"/>
    <n v="4000"/>
    <n v="0.4"/>
  </r>
  <r>
    <s v="O0329"/>
    <x v="146"/>
    <s v="Customer 28"/>
    <x v="3"/>
    <x v="8"/>
    <n v="4"/>
    <n v="18000"/>
    <x v="8"/>
    <x v="2"/>
    <n v="12000"/>
    <s v="Kingston"/>
    <n v="72000"/>
    <n v="48000"/>
    <n v="24000"/>
    <n v="0.33333333333333331"/>
  </r>
  <r>
    <s v="O0330"/>
    <x v="166"/>
    <s v="Customer 19"/>
    <x v="1"/>
    <x v="1"/>
    <n v="1"/>
    <n v="45000"/>
    <x v="1"/>
    <x v="0"/>
    <n v="35000"/>
    <s v="HP"/>
    <n v="45000"/>
    <n v="35000"/>
    <n v="10000"/>
    <n v="0.22222222222222221"/>
  </r>
  <r>
    <s v="O0331"/>
    <x v="225"/>
    <s v="Customer 64"/>
    <x v="7"/>
    <x v="8"/>
    <n v="3"/>
    <n v="18000"/>
    <x v="6"/>
    <x v="2"/>
    <n v="12000"/>
    <s v="Kingston"/>
    <n v="54000"/>
    <n v="36000"/>
    <n v="18000"/>
    <n v="0.33333333333333331"/>
  </r>
  <r>
    <s v="O0332"/>
    <x v="128"/>
    <s v="Customer 64"/>
    <x v="7"/>
    <x v="9"/>
    <n v="3"/>
    <n v="80000"/>
    <x v="3"/>
    <x v="0"/>
    <n v="65000"/>
    <s v="Samsung"/>
    <n v="240000"/>
    <n v="195000"/>
    <n v="45000"/>
    <n v="0.1875"/>
  </r>
  <r>
    <s v="O0333"/>
    <x v="184"/>
    <s v="Customer 92"/>
    <x v="5"/>
    <x v="3"/>
    <n v="2"/>
    <n v="2000"/>
    <x v="5"/>
    <x v="2"/>
    <n v="1200"/>
    <s v="SanDisk"/>
    <n v="4000"/>
    <n v="2400"/>
    <n v="1600"/>
    <n v="0.4"/>
  </r>
  <r>
    <s v="O0334"/>
    <x v="155"/>
    <s v="Customer 38"/>
    <x v="6"/>
    <x v="6"/>
    <n v="5"/>
    <n v="7000"/>
    <x v="1"/>
    <x v="1"/>
    <n v="5000"/>
    <s v="Sony"/>
    <n v="35000"/>
    <n v="25000"/>
    <n v="10000"/>
    <n v="0.2857142857142857"/>
  </r>
  <r>
    <s v="O0335"/>
    <x v="53"/>
    <s v="Customer 100"/>
    <x v="3"/>
    <x v="9"/>
    <n v="5"/>
    <n v="80000"/>
    <x v="2"/>
    <x v="0"/>
    <n v="65000"/>
    <s v="Samsung"/>
    <n v="400000"/>
    <n v="325000"/>
    <n v="75000"/>
    <n v="0.1875"/>
  </r>
  <r>
    <s v="O0336"/>
    <x v="226"/>
    <s v="Customer 73"/>
    <x v="5"/>
    <x v="7"/>
    <n v="2"/>
    <n v="5000"/>
    <x v="2"/>
    <x v="1"/>
    <n v="3500"/>
    <s v="Logitech"/>
    <n v="10000"/>
    <n v="7000"/>
    <n v="3000"/>
    <n v="0.3"/>
  </r>
  <r>
    <s v="O0337"/>
    <x v="12"/>
    <s v="Customer 82"/>
    <x v="2"/>
    <x v="8"/>
    <n v="4"/>
    <n v="18000"/>
    <x v="8"/>
    <x v="2"/>
    <n v="12000"/>
    <s v="Kingston"/>
    <n v="72000"/>
    <n v="48000"/>
    <n v="24000"/>
    <n v="0.33333333333333331"/>
  </r>
  <r>
    <s v="O0338"/>
    <x v="227"/>
    <s v="Customer 26"/>
    <x v="0"/>
    <x v="9"/>
    <n v="3"/>
    <n v="80000"/>
    <x v="4"/>
    <x v="0"/>
    <n v="65000"/>
    <s v="Samsung"/>
    <n v="240000"/>
    <n v="195000"/>
    <n v="45000"/>
    <n v="0.1875"/>
  </r>
  <r>
    <s v="O0339"/>
    <x v="154"/>
    <s v="Customer 66"/>
    <x v="7"/>
    <x v="1"/>
    <n v="5"/>
    <n v="45000"/>
    <x v="3"/>
    <x v="0"/>
    <n v="35000"/>
    <s v="HP"/>
    <n v="225000"/>
    <n v="175000"/>
    <n v="50000"/>
    <n v="0.22222222222222221"/>
  </r>
  <r>
    <s v="O0340"/>
    <x v="201"/>
    <s v="Customer 62"/>
    <x v="2"/>
    <x v="3"/>
    <n v="3"/>
    <n v="2000"/>
    <x v="5"/>
    <x v="2"/>
    <n v="1200"/>
    <s v="SanDisk"/>
    <n v="6000"/>
    <n v="3600"/>
    <n v="2400"/>
    <n v="0.4"/>
  </r>
  <r>
    <s v="O0341"/>
    <x v="228"/>
    <s v="Customer 62"/>
    <x v="0"/>
    <x v="8"/>
    <n v="2"/>
    <n v="18000"/>
    <x v="0"/>
    <x v="2"/>
    <n v="12000"/>
    <s v="Kingston"/>
    <n v="36000"/>
    <n v="24000"/>
    <n v="12000"/>
    <n v="0.33333333333333331"/>
  </r>
  <r>
    <s v="O0342"/>
    <x v="155"/>
    <s v="Customer 67"/>
    <x v="7"/>
    <x v="1"/>
    <n v="1"/>
    <n v="45000"/>
    <x v="3"/>
    <x v="0"/>
    <n v="35000"/>
    <s v="HP"/>
    <n v="45000"/>
    <n v="35000"/>
    <n v="10000"/>
    <n v="0.22222222222222221"/>
  </r>
  <r>
    <s v="O0343"/>
    <x v="229"/>
    <s v="Customer 35"/>
    <x v="0"/>
    <x v="6"/>
    <n v="2"/>
    <n v="7000"/>
    <x v="1"/>
    <x v="1"/>
    <n v="5000"/>
    <s v="Sony"/>
    <n v="14000"/>
    <n v="10000"/>
    <n v="4000"/>
    <n v="0.2857142857142857"/>
  </r>
  <r>
    <s v="O0344"/>
    <x v="230"/>
    <s v="Customer 1"/>
    <x v="5"/>
    <x v="6"/>
    <n v="5"/>
    <n v="7000"/>
    <x v="2"/>
    <x v="1"/>
    <n v="5000"/>
    <s v="Sony"/>
    <n v="35000"/>
    <n v="25000"/>
    <n v="10000"/>
    <n v="0.2857142857142857"/>
  </r>
  <r>
    <s v="O0345"/>
    <x v="231"/>
    <s v="Customer 90"/>
    <x v="2"/>
    <x v="3"/>
    <n v="5"/>
    <n v="2000"/>
    <x v="1"/>
    <x v="2"/>
    <n v="1200"/>
    <s v="SanDisk"/>
    <n v="10000"/>
    <n v="6000"/>
    <n v="4000"/>
    <n v="0.4"/>
  </r>
  <r>
    <s v="O0346"/>
    <x v="196"/>
    <s v="Customer 92"/>
    <x v="0"/>
    <x v="9"/>
    <n v="3"/>
    <n v="80000"/>
    <x v="8"/>
    <x v="0"/>
    <n v="65000"/>
    <s v="Samsung"/>
    <n v="240000"/>
    <n v="195000"/>
    <n v="45000"/>
    <n v="0.1875"/>
  </r>
  <r>
    <s v="O0347"/>
    <x v="232"/>
    <s v="Customer 88"/>
    <x v="3"/>
    <x v="0"/>
    <n v="5"/>
    <n v="150000"/>
    <x v="7"/>
    <x v="0"/>
    <n v="120000"/>
    <s v="Dell"/>
    <n v="750000"/>
    <n v="600000"/>
    <n v="150000"/>
    <n v="0.2"/>
  </r>
  <r>
    <s v="O0348"/>
    <x v="215"/>
    <s v="Customer 79"/>
    <x v="0"/>
    <x v="7"/>
    <n v="2"/>
    <n v="5000"/>
    <x v="6"/>
    <x v="1"/>
    <n v="3500"/>
    <s v="Logitech"/>
    <n v="10000"/>
    <n v="7000"/>
    <n v="3000"/>
    <n v="0.3"/>
  </r>
  <r>
    <s v="O0349"/>
    <x v="211"/>
    <s v="Customer 75"/>
    <x v="2"/>
    <x v="4"/>
    <n v="1"/>
    <n v="60000"/>
    <x v="5"/>
    <x v="0"/>
    <n v="50000"/>
    <s v="LG"/>
    <n v="60000"/>
    <n v="50000"/>
    <n v="10000"/>
    <n v="0.16666666666666666"/>
  </r>
  <r>
    <s v="O0350"/>
    <x v="233"/>
    <s v="Customer 1"/>
    <x v="2"/>
    <x v="8"/>
    <n v="4"/>
    <n v="18000"/>
    <x v="7"/>
    <x v="2"/>
    <n v="12000"/>
    <s v="Kingston"/>
    <n v="72000"/>
    <n v="48000"/>
    <n v="24000"/>
    <n v="0.33333333333333331"/>
  </r>
  <r>
    <s v="O0351"/>
    <x v="92"/>
    <s v="Customer 43"/>
    <x v="4"/>
    <x v="1"/>
    <n v="5"/>
    <n v="45000"/>
    <x v="8"/>
    <x v="0"/>
    <n v="35000"/>
    <s v="HP"/>
    <n v="225000"/>
    <n v="175000"/>
    <n v="50000"/>
    <n v="0.22222222222222221"/>
  </r>
  <r>
    <s v="O0352"/>
    <x v="234"/>
    <s v="Customer 88"/>
    <x v="0"/>
    <x v="8"/>
    <n v="1"/>
    <n v="18000"/>
    <x v="9"/>
    <x v="2"/>
    <n v="12000"/>
    <s v="Kingston"/>
    <n v="18000"/>
    <n v="12000"/>
    <n v="6000"/>
    <n v="0.33333333333333331"/>
  </r>
  <r>
    <s v="O0353"/>
    <x v="108"/>
    <s v="Customer 50"/>
    <x v="4"/>
    <x v="3"/>
    <n v="3"/>
    <n v="2000"/>
    <x v="0"/>
    <x v="2"/>
    <n v="1200"/>
    <s v="SanDisk"/>
    <n v="6000"/>
    <n v="3600"/>
    <n v="2400"/>
    <n v="0.4"/>
  </r>
  <r>
    <s v="O0354"/>
    <x v="235"/>
    <s v="Customer 70"/>
    <x v="5"/>
    <x v="9"/>
    <n v="1"/>
    <n v="80000"/>
    <x v="2"/>
    <x v="0"/>
    <n v="65000"/>
    <s v="Samsung"/>
    <n v="80000"/>
    <n v="65000"/>
    <n v="15000"/>
    <n v="0.1875"/>
  </r>
  <r>
    <s v="O0355"/>
    <x v="236"/>
    <s v="Customer 19"/>
    <x v="7"/>
    <x v="8"/>
    <n v="5"/>
    <n v="18000"/>
    <x v="3"/>
    <x v="2"/>
    <n v="12000"/>
    <s v="Kingston"/>
    <n v="90000"/>
    <n v="60000"/>
    <n v="30000"/>
    <n v="0.33333333333333331"/>
  </r>
  <r>
    <s v="O0356"/>
    <x v="237"/>
    <s v="Customer 54"/>
    <x v="1"/>
    <x v="2"/>
    <n v="5"/>
    <n v="2500"/>
    <x v="8"/>
    <x v="1"/>
    <n v="1500"/>
    <s v="Logitech"/>
    <n v="12500"/>
    <n v="7500"/>
    <n v="5000"/>
    <n v="0.4"/>
  </r>
  <r>
    <s v="O0357"/>
    <x v="238"/>
    <s v="Customer 44"/>
    <x v="3"/>
    <x v="2"/>
    <n v="4"/>
    <n v="2500"/>
    <x v="7"/>
    <x v="1"/>
    <n v="1500"/>
    <s v="Logitech"/>
    <n v="10000"/>
    <n v="6000"/>
    <n v="4000"/>
    <n v="0.4"/>
  </r>
  <r>
    <s v="O0358"/>
    <x v="239"/>
    <s v="Customer 77"/>
    <x v="2"/>
    <x v="2"/>
    <n v="4"/>
    <n v="2500"/>
    <x v="1"/>
    <x v="1"/>
    <n v="1500"/>
    <s v="Logitech"/>
    <n v="10000"/>
    <n v="6000"/>
    <n v="4000"/>
    <n v="0.4"/>
  </r>
  <r>
    <s v="O0359"/>
    <x v="177"/>
    <s v="Customer 7"/>
    <x v="3"/>
    <x v="4"/>
    <n v="5"/>
    <n v="60000"/>
    <x v="6"/>
    <x v="0"/>
    <n v="50000"/>
    <s v="LG"/>
    <n v="300000"/>
    <n v="250000"/>
    <n v="50000"/>
    <n v="0.16666666666666666"/>
  </r>
  <r>
    <s v="O0360"/>
    <x v="188"/>
    <s v="Customer 95"/>
    <x v="5"/>
    <x v="1"/>
    <n v="3"/>
    <n v="45000"/>
    <x v="3"/>
    <x v="0"/>
    <n v="35000"/>
    <s v="HP"/>
    <n v="135000"/>
    <n v="105000"/>
    <n v="30000"/>
    <n v="0.22222222222222221"/>
  </r>
  <r>
    <s v="O0361"/>
    <x v="240"/>
    <s v="Customer 87"/>
    <x v="0"/>
    <x v="5"/>
    <n v="1"/>
    <n v="9500"/>
    <x v="4"/>
    <x v="1"/>
    <n v="7000"/>
    <s v="Logitech"/>
    <n v="9500"/>
    <n v="7000"/>
    <n v="2500"/>
    <n v="0.26315789473684209"/>
  </r>
  <r>
    <s v="O0362"/>
    <x v="241"/>
    <s v="Customer 36"/>
    <x v="3"/>
    <x v="9"/>
    <n v="4"/>
    <n v="80000"/>
    <x v="4"/>
    <x v="0"/>
    <n v="65000"/>
    <s v="Samsung"/>
    <n v="320000"/>
    <n v="260000"/>
    <n v="60000"/>
    <n v="0.1875"/>
  </r>
  <r>
    <s v="O0363"/>
    <x v="75"/>
    <s v="Customer 12"/>
    <x v="2"/>
    <x v="5"/>
    <n v="4"/>
    <n v="9500"/>
    <x v="1"/>
    <x v="1"/>
    <n v="7000"/>
    <s v="Logitech"/>
    <n v="38000"/>
    <n v="28000"/>
    <n v="10000"/>
    <n v="0.26315789473684209"/>
  </r>
  <r>
    <s v="O0364"/>
    <x v="242"/>
    <s v="Customer 23"/>
    <x v="6"/>
    <x v="6"/>
    <n v="2"/>
    <n v="7000"/>
    <x v="8"/>
    <x v="1"/>
    <n v="5000"/>
    <s v="Sony"/>
    <n v="14000"/>
    <n v="10000"/>
    <n v="4000"/>
    <n v="0.2857142857142857"/>
  </r>
  <r>
    <s v="O0365"/>
    <x v="178"/>
    <s v="Customer 66"/>
    <x v="7"/>
    <x v="1"/>
    <n v="3"/>
    <n v="45000"/>
    <x v="6"/>
    <x v="0"/>
    <n v="35000"/>
    <s v="HP"/>
    <n v="135000"/>
    <n v="105000"/>
    <n v="30000"/>
    <n v="0.22222222222222221"/>
  </r>
  <r>
    <s v="O0366"/>
    <x v="29"/>
    <s v="Customer 76"/>
    <x v="1"/>
    <x v="0"/>
    <n v="2"/>
    <n v="150000"/>
    <x v="9"/>
    <x v="0"/>
    <n v="120000"/>
    <s v="Dell"/>
    <n v="300000"/>
    <n v="240000"/>
    <n v="60000"/>
    <n v="0.2"/>
  </r>
  <r>
    <s v="O0367"/>
    <x v="27"/>
    <s v="Customer 4"/>
    <x v="7"/>
    <x v="2"/>
    <n v="4"/>
    <n v="2500"/>
    <x v="5"/>
    <x v="1"/>
    <n v="1500"/>
    <s v="Logitech"/>
    <n v="10000"/>
    <n v="6000"/>
    <n v="4000"/>
    <n v="0.4"/>
  </r>
  <r>
    <s v="O0368"/>
    <x v="36"/>
    <s v="Customer 91"/>
    <x v="2"/>
    <x v="8"/>
    <n v="2"/>
    <n v="18000"/>
    <x v="9"/>
    <x v="2"/>
    <n v="12000"/>
    <s v="Kingston"/>
    <n v="36000"/>
    <n v="24000"/>
    <n v="12000"/>
    <n v="0.33333333333333331"/>
  </r>
  <r>
    <s v="O0369"/>
    <x v="161"/>
    <s v="Customer 22"/>
    <x v="5"/>
    <x v="0"/>
    <n v="4"/>
    <n v="150000"/>
    <x v="7"/>
    <x v="0"/>
    <n v="120000"/>
    <s v="Dell"/>
    <n v="600000"/>
    <n v="480000"/>
    <n v="120000"/>
    <n v="0.2"/>
  </r>
  <r>
    <s v="O0370"/>
    <x v="243"/>
    <s v="Customer 67"/>
    <x v="7"/>
    <x v="9"/>
    <n v="4"/>
    <n v="80000"/>
    <x v="6"/>
    <x v="0"/>
    <n v="65000"/>
    <s v="Samsung"/>
    <n v="320000"/>
    <n v="260000"/>
    <n v="60000"/>
    <n v="0.1875"/>
  </r>
  <r>
    <s v="O0371"/>
    <x v="57"/>
    <s v="Customer 91"/>
    <x v="3"/>
    <x v="9"/>
    <n v="4"/>
    <n v="80000"/>
    <x v="5"/>
    <x v="0"/>
    <n v="65000"/>
    <s v="Samsung"/>
    <n v="320000"/>
    <n v="260000"/>
    <n v="60000"/>
    <n v="0.1875"/>
  </r>
  <r>
    <s v="O0372"/>
    <x v="19"/>
    <s v="Customer 85"/>
    <x v="3"/>
    <x v="4"/>
    <n v="5"/>
    <n v="60000"/>
    <x v="1"/>
    <x v="0"/>
    <n v="50000"/>
    <s v="LG"/>
    <n v="300000"/>
    <n v="250000"/>
    <n v="50000"/>
    <n v="0.16666666666666666"/>
  </r>
  <r>
    <s v="O0373"/>
    <x v="244"/>
    <s v="Customer 100"/>
    <x v="6"/>
    <x v="5"/>
    <n v="2"/>
    <n v="9500"/>
    <x v="4"/>
    <x v="1"/>
    <n v="7000"/>
    <s v="Logitech"/>
    <n v="19000"/>
    <n v="14000"/>
    <n v="5000"/>
    <n v="0.26315789473684209"/>
  </r>
  <r>
    <s v="O0374"/>
    <x v="88"/>
    <s v="Customer 63"/>
    <x v="0"/>
    <x v="3"/>
    <n v="4"/>
    <n v="2000"/>
    <x v="9"/>
    <x v="2"/>
    <n v="1200"/>
    <s v="SanDisk"/>
    <n v="8000"/>
    <n v="4800"/>
    <n v="3200"/>
    <n v="0.4"/>
  </r>
  <r>
    <s v="O0375"/>
    <x v="240"/>
    <s v="Customer 91"/>
    <x v="5"/>
    <x v="2"/>
    <n v="5"/>
    <n v="2500"/>
    <x v="2"/>
    <x v="1"/>
    <n v="1500"/>
    <s v="Logitech"/>
    <n v="12500"/>
    <n v="7500"/>
    <n v="5000"/>
    <n v="0.4"/>
  </r>
  <r>
    <s v="O0376"/>
    <x v="51"/>
    <s v="Customer 8"/>
    <x v="1"/>
    <x v="1"/>
    <n v="2"/>
    <n v="45000"/>
    <x v="8"/>
    <x v="0"/>
    <n v="35000"/>
    <s v="HP"/>
    <n v="90000"/>
    <n v="70000"/>
    <n v="20000"/>
    <n v="0.22222222222222221"/>
  </r>
  <r>
    <s v="O0377"/>
    <x v="60"/>
    <s v="Customer 100"/>
    <x v="1"/>
    <x v="2"/>
    <n v="3"/>
    <n v="2500"/>
    <x v="8"/>
    <x v="1"/>
    <n v="1500"/>
    <s v="Logitech"/>
    <n v="7500"/>
    <n v="4500"/>
    <n v="3000"/>
    <n v="0.4"/>
  </r>
  <r>
    <s v="O0378"/>
    <x v="95"/>
    <s v="Customer 73"/>
    <x v="0"/>
    <x v="5"/>
    <n v="5"/>
    <n v="9500"/>
    <x v="8"/>
    <x v="1"/>
    <n v="7000"/>
    <s v="Logitech"/>
    <n v="47500"/>
    <n v="35000"/>
    <n v="12500"/>
    <n v="0.26315789473684209"/>
  </r>
  <r>
    <s v="O0379"/>
    <x v="119"/>
    <s v="Customer 4"/>
    <x v="4"/>
    <x v="6"/>
    <n v="5"/>
    <n v="7000"/>
    <x v="5"/>
    <x v="1"/>
    <n v="5000"/>
    <s v="Sony"/>
    <n v="35000"/>
    <n v="25000"/>
    <n v="10000"/>
    <n v="0.2857142857142857"/>
  </r>
  <r>
    <s v="O0380"/>
    <x v="138"/>
    <s v="Customer 57"/>
    <x v="1"/>
    <x v="3"/>
    <n v="5"/>
    <n v="2000"/>
    <x v="0"/>
    <x v="2"/>
    <n v="1200"/>
    <s v="SanDisk"/>
    <n v="10000"/>
    <n v="6000"/>
    <n v="4000"/>
    <n v="0.4"/>
  </r>
  <r>
    <s v="O0381"/>
    <x v="245"/>
    <s v="Customer 45"/>
    <x v="5"/>
    <x v="2"/>
    <n v="2"/>
    <n v="2500"/>
    <x v="9"/>
    <x v="1"/>
    <n v="1500"/>
    <s v="Logitech"/>
    <n v="5000"/>
    <n v="3000"/>
    <n v="2000"/>
    <n v="0.4"/>
  </r>
  <r>
    <s v="O0382"/>
    <x v="246"/>
    <s v="Customer 61"/>
    <x v="3"/>
    <x v="3"/>
    <n v="2"/>
    <n v="2000"/>
    <x v="7"/>
    <x v="2"/>
    <n v="1200"/>
    <s v="SanDisk"/>
    <n v="4000"/>
    <n v="2400"/>
    <n v="1600"/>
    <n v="0.4"/>
  </r>
  <r>
    <s v="O0383"/>
    <x v="247"/>
    <s v="Customer 22"/>
    <x v="4"/>
    <x v="4"/>
    <n v="2"/>
    <n v="60000"/>
    <x v="1"/>
    <x v="0"/>
    <n v="50000"/>
    <s v="LG"/>
    <n v="120000"/>
    <n v="100000"/>
    <n v="20000"/>
    <n v="0.16666666666666666"/>
  </r>
  <r>
    <s v="O0384"/>
    <x v="205"/>
    <s v="Customer 18"/>
    <x v="4"/>
    <x v="2"/>
    <n v="2"/>
    <n v="2500"/>
    <x v="2"/>
    <x v="1"/>
    <n v="1500"/>
    <s v="Logitech"/>
    <n v="5000"/>
    <n v="3000"/>
    <n v="2000"/>
    <n v="0.4"/>
  </r>
  <r>
    <s v="O0385"/>
    <x v="50"/>
    <s v="Customer 35"/>
    <x v="6"/>
    <x v="4"/>
    <n v="3"/>
    <n v="60000"/>
    <x v="0"/>
    <x v="0"/>
    <n v="50000"/>
    <s v="LG"/>
    <n v="180000"/>
    <n v="150000"/>
    <n v="30000"/>
    <n v="0.16666666666666666"/>
  </r>
  <r>
    <s v="O0386"/>
    <x v="248"/>
    <s v="Customer 23"/>
    <x v="7"/>
    <x v="8"/>
    <n v="1"/>
    <n v="18000"/>
    <x v="1"/>
    <x v="2"/>
    <n v="12000"/>
    <s v="Kingston"/>
    <n v="18000"/>
    <n v="12000"/>
    <n v="6000"/>
    <n v="0.33333333333333331"/>
  </r>
  <r>
    <s v="O0387"/>
    <x v="159"/>
    <s v="Customer 68"/>
    <x v="0"/>
    <x v="4"/>
    <n v="3"/>
    <n v="60000"/>
    <x v="8"/>
    <x v="0"/>
    <n v="50000"/>
    <s v="LG"/>
    <n v="180000"/>
    <n v="150000"/>
    <n v="30000"/>
    <n v="0.16666666666666666"/>
  </r>
  <r>
    <s v="O0388"/>
    <x v="4"/>
    <s v="Customer 39"/>
    <x v="0"/>
    <x v="4"/>
    <n v="5"/>
    <n v="60000"/>
    <x v="6"/>
    <x v="0"/>
    <n v="50000"/>
    <s v="LG"/>
    <n v="300000"/>
    <n v="250000"/>
    <n v="50000"/>
    <n v="0.16666666666666666"/>
  </r>
  <r>
    <s v="O0389"/>
    <x v="63"/>
    <s v="Customer 7"/>
    <x v="2"/>
    <x v="6"/>
    <n v="1"/>
    <n v="7000"/>
    <x v="4"/>
    <x v="1"/>
    <n v="5000"/>
    <s v="Sony"/>
    <n v="7000"/>
    <n v="5000"/>
    <n v="2000"/>
    <n v="0.2857142857142857"/>
  </r>
  <r>
    <s v="O0390"/>
    <x v="40"/>
    <s v="Customer 44"/>
    <x v="5"/>
    <x v="0"/>
    <n v="5"/>
    <n v="150000"/>
    <x v="8"/>
    <x v="0"/>
    <n v="120000"/>
    <s v="Dell"/>
    <n v="750000"/>
    <n v="600000"/>
    <n v="150000"/>
    <n v="0.2"/>
  </r>
  <r>
    <s v="O0391"/>
    <x v="12"/>
    <s v="Customer 48"/>
    <x v="6"/>
    <x v="5"/>
    <n v="2"/>
    <n v="9500"/>
    <x v="4"/>
    <x v="1"/>
    <n v="7000"/>
    <s v="Logitech"/>
    <n v="19000"/>
    <n v="14000"/>
    <n v="5000"/>
    <n v="0.26315789473684209"/>
  </r>
  <r>
    <s v="O0392"/>
    <x v="196"/>
    <s v="Customer 88"/>
    <x v="6"/>
    <x v="5"/>
    <n v="5"/>
    <n v="9500"/>
    <x v="2"/>
    <x v="1"/>
    <n v="7000"/>
    <s v="Logitech"/>
    <n v="47500"/>
    <n v="35000"/>
    <n v="12500"/>
    <n v="0.26315789473684209"/>
  </r>
  <r>
    <s v="O0393"/>
    <x v="249"/>
    <s v="Customer 4"/>
    <x v="3"/>
    <x v="1"/>
    <n v="4"/>
    <n v="45000"/>
    <x v="7"/>
    <x v="0"/>
    <n v="35000"/>
    <s v="HP"/>
    <n v="180000"/>
    <n v="140000"/>
    <n v="40000"/>
    <n v="0.22222222222222221"/>
  </r>
  <r>
    <s v="O0394"/>
    <x v="250"/>
    <s v="Customer 34"/>
    <x v="3"/>
    <x v="0"/>
    <n v="5"/>
    <n v="150000"/>
    <x v="4"/>
    <x v="0"/>
    <n v="120000"/>
    <s v="Dell"/>
    <n v="750000"/>
    <n v="600000"/>
    <n v="150000"/>
    <n v="0.2"/>
  </r>
  <r>
    <s v="O0395"/>
    <x v="220"/>
    <s v="Customer 47"/>
    <x v="7"/>
    <x v="2"/>
    <n v="1"/>
    <n v="2500"/>
    <x v="1"/>
    <x v="1"/>
    <n v="1500"/>
    <s v="Logitech"/>
    <n v="2500"/>
    <n v="1500"/>
    <n v="1000"/>
    <n v="0.4"/>
  </r>
  <r>
    <s v="O0396"/>
    <x v="78"/>
    <s v="Customer 78"/>
    <x v="2"/>
    <x v="0"/>
    <n v="5"/>
    <n v="150000"/>
    <x v="6"/>
    <x v="0"/>
    <n v="120000"/>
    <s v="Dell"/>
    <n v="750000"/>
    <n v="600000"/>
    <n v="150000"/>
    <n v="0.2"/>
  </r>
  <r>
    <s v="O0397"/>
    <x v="156"/>
    <s v="Customer 56"/>
    <x v="0"/>
    <x v="3"/>
    <n v="4"/>
    <n v="2000"/>
    <x v="0"/>
    <x v="2"/>
    <n v="1200"/>
    <s v="SanDisk"/>
    <n v="8000"/>
    <n v="4800"/>
    <n v="3200"/>
    <n v="0.4"/>
  </r>
  <r>
    <s v="O0398"/>
    <x v="251"/>
    <s v="Customer 78"/>
    <x v="2"/>
    <x v="2"/>
    <n v="3"/>
    <n v="2500"/>
    <x v="3"/>
    <x v="1"/>
    <n v="1500"/>
    <s v="Logitech"/>
    <n v="7500"/>
    <n v="4500"/>
    <n v="3000"/>
    <n v="0.4"/>
  </r>
  <r>
    <s v="O0399"/>
    <x v="78"/>
    <s v="Customer 84"/>
    <x v="0"/>
    <x v="5"/>
    <n v="4"/>
    <n v="9500"/>
    <x v="4"/>
    <x v="1"/>
    <n v="7000"/>
    <s v="Logitech"/>
    <n v="38000"/>
    <n v="28000"/>
    <n v="10000"/>
    <n v="0.26315789473684209"/>
  </r>
  <r>
    <s v="O0400"/>
    <x v="32"/>
    <s v="Customer 38"/>
    <x v="3"/>
    <x v="0"/>
    <n v="1"/>
    <n v="150000"/>
    <x v="4"/>
    <x v="0"/>
    <n v="120000"/>
    <s v="Dell"/>
    <n v="150000"/>
    <n v="120000"/>
    <n v="30000"/>
    <n v="0.2"/>
  </r>
  <r>
    <s v="O0401"/>
    <x v="252"/>
    <s v="Customer 79"/>
    <x v="4"/>
    <x v="8"/>
    <n v="4"/>
    <n v="18000"/>
    <x v="0"/>
    <x v="2"/>
    <n v="12000"/>
    <s v="Kingston"/>
    <n v="72000"/>
    <n v="48000"/>
    <n v="24000"/>
    <n v="0.33333333333333331"/>
  </r>
  <r>
    <s v="O0402"/>
    <x v="138"/>
    <s v="Customer 73"/>
    <x v="1"/>
    <x v="9"/>
    <n v="5"/>
    <n v="80000"/>
    <x v="7"/>
    <x v="0"/>
    <n v="65000"/>
    <s v="Samsung"/>
    <n v="400000"/>
    <n v="325000"/>
    <n v="75000"/>
    <n v="0.1875"/>
  </r>
  <r>
    <s v="O0403"/>
    <x v="214"/>
    <s v="Customer 96"/>
    <x v="1"/>
    <x v="5"/>
    <n v="3"/>
    <n v="9500"/>
    <x v="7"/>
    <x v="1"/>
    <n v="7000"/>
    <s v="Logitech"/>
    <n v="28500"/>
    <n v="21000"/>
    <n v="7500"/>
    <n v="0.26315789473684209"/>
  </r>
  <r>
    <s v="O0404"/>
    <x v="211"/>
    <s v="Customer 96"/>
    <x v="4"/>
    <x v="3"/>
    <n v="2"/>
    <n v="2000"/>
    <x v="2"/>
    <x v="2"/>
    <n v="1200"/>
    <s v="SanDisk"/>
    <n v="4000"/>
    <n v="2400"/>
    <n v="1600"/>
    <n v="0.4"/>
  </r>
  <r>
    <s v="O0405"/>
    <x v="96"/>
    <s v="Customer 51"/>
    <x v="1"/>
    <x v="7"/>
    <n v="1"/>
    <n v="5000"/>
    <x v="3"/>
    <x v="1"/>
    <n v="3500"/>
    <s v="Logitech"/>
    <n v="5000"/>
    <n v="3500"/>
    <n v="1500"/>
    <n v="0.3"/>
  </r>
  <r>
    <s v="O0406"/>
    <x v="77"/>
    <s v="Customer 63"/>
    <x v="2"/>
    <x v="0"/>
    <n v="4"/>
    <n v="150000"/>
    <x v="2"/>
    <x v="0"/>
    <n v="120000"/>
    <s v="Dell"/>
    <n v="600000"/>
    <n v="480000"/>
    <n v="120000"/>
    <n v="0.2"/>
  </r>
  <r>
    <s v="O0407"/>
    <x v="196"/>
    <s v="Customer 31"/>
    <x v="1"/>
    <x v="4"/>
    <n v="2"/>
    <n v="60000"/>
    <x v="4"/>
    <x v="0"/>
    <n v="50000"/>
    <s v="LG"/>
    <n v="120000"/>
    <n v="100000"/>
    <n v="20000"/>
    <n v="0.16666666666666666"/>
  </r>
  <r>
    <s v="O0408"/>
    <x v="253"/>
    <s v="Customer 21"/>
    <x v="7"/>
    <x v="5"/>
    <n v="3"/>
    <n v="9500"/>
    <x v="5"/>
    <x v="1"/>
    <n v="7000"/>
    <s v="Logitech"/>
    <n v="28500"/>
    <n v="21000"/>
    <n v="7500"/>
    <n v="0.26315789473684209"/>
  </r>
  <r>
    <s v="O0409"/>
    <x v="254"/>
    <s v="Customer 38"/>
    <x v="7"/>
    <x v="6"/>
    <n v="3"/>
    <n v="7000"/>
    <x v="5"/>
    <x v="1"/>
    <n v="5000"/>
    <s v="Sony"/>
    <n v="21000"/>
    <n v="15000"/>
    <n v="6000"/>
    <n v="0.2857142857142857"/>
  </r>
  <r>
    <s v="O0410"/>
    <x v="42"/>
    <s v="Customer 54"/>
    <x v="2"/>
    <x v="0"/>
    <n v="5"/>
    <n v="150000"/>
    <x v="2"/>
    <x v="0"/>
    <n v="120000"/>
    <s v="Dell"/>
    <n v="750000"/>
    <n v="600000"/>
    <n v="150000"/>
    <n v="0.2"/>
  </r>
  <r>
    <s v="O0411"/>
    <x v="121"/>
    <s v="Customer 76"/>
    <x v="4"/>
    <x v="3"/>
    <n v="3"/>
    <n v="2000"/>
    <x v="8"/>
    <x v="2"/>
    <n v="1200"/>
    <s v="SanDisk"/>
    <n v="6000"/>
    <n v="3600"/>
    <n v="2400"/>
    <n v="0.4"/>
  </r>
  <r>
    <s v="O0412"/>
    <x v="137"/>
    <s v="Customer 87"/>
    <x v="7"/>
    <x v="1"/>
    <n v="1"/>
    <n v="45000"/>
    <x v="5"/>
    <x v="0"/>
    <n v="35000"/>
    <s v="HP"/>
    <n v="45000"/>
    <n v="35000"/>
    <n v="10000"/>
    <n v="0.22222222222222221"/>
  </r>
  <r>
    <s v="O0413"/>
    <x v="255"/>
    <s v="Customer 37"/>
    <x v="7"/>
    <x v="9"/>
    <n v="5"/>
    <n v="80000"/>
    <x v="6"/>
    <x v="0"/>
    <n v="65000"/>
    <s v="Samsung"/>
    <n v="400000"/>
    <n v="325000"/>
    <n v="75000"/>
    <n v="0.1875"/>
  </r>
  <r>
    <s v="O0414"/>
    <x v="204"/>
    <s v="Customer 24"/>
    <x v="1"/>
    <x v="0"/>
    <n v="3"/>
    <n v="150000"/>
    <x v="0"/>
    <x v="0"/>
    <n v="120000"/>
    <s v="Dell"/>
    <n v="450000"/>
    <n v="360000"/>
    <n v="90000"/>
    <n v="0.2"/>
  </r>
  <r>
    <s v="O0415"/>
    <x v="256"/>
    <s v="Customer 46"/>
    <x v="7"/>
    <x v="9"/>
    <n v="3"/>
    <n v="80000"/>
    <x v="2"/>
    <x v="0"/>
    <n v="65000"/>
    <s v="Samsung"/>
    <n v="240000"/>
    <n v="195000"/>
    <n v="45000"/>
    <n v="0.1875"/>
  </r>
  <r>
    <s v="O0416"/>
    <x v="104"/>
    <s v="Customer 1"/>
    <x v="7"/>
    <x v="2"/>
    <n v="5"/>
    <n v="2500"/>
    <x v="4"/>
    <x v="1"/>
    <n v="1500"/>
    <s v="Logitech"/>
    <n v="12500"/>
    <n v="7500"/>
    <n v="5000"/>
    <n v="0.4"/>
  </r>
  <r>
    <s v="O0417"/>
    <x v="130"/>
    <s v="Customer 63"/>
    <x v="1"/>
    <x v="0"/>
    <n v="4"/>
    <n v="150000"/>
    <x v="0"/>
    <x v="0"/>
    <n v="120000"/>
    <s v="Dell"/>
    <n v="600000"/>
    <n v="480000"/>
    <n v="120000"/>
    <n v="0.2"/>
  </r>
  <r>
    <s v="O0418"/>
    <x v="257"/>
    <s v="Customer 29"/>
    <x v="6"/>
    <x v="5"/>
    <n v="5"/>
    <n v="9500"/>
    <x v="2"/>
    <x v="1"/>
    <n v="7000"/>
    <s v="Logitech"/>
    <n v="47500"/>
    <n v="35000"/>
    <n v="12500"/>
    <n v="0.26315789473684209"/>
  </r>
  <r>
    <s v="O0419"/>
    <x v="186"/>
    <s v="Customer 70"/>
    <x v="6"/>
    <x v="4"/>
    <n v="1"/>
    <n v="60000"/>
    <x v="1"/>
    <x v="0"/>
    <n v="50000"/>
    <s v="LG"/>
    <n v="60000"/>
    <n v="50000"/>
    <n v="10000"/>
    <n v="0.16666666666666666"/>
  </r>
  <r>
    <s v="O0420"/>
    <x v="222"/>
    <s v="Customer 29"/>
    <x v="4"/>
    <x v="5"/>
    <n v="1"/>
    <n v="9500"/>
    <x v="2"/>
    <x v="1"/>
    <n v="7000"/>
    <s v="Logitech"/>
    <n v="9500"/>
    <n v="7000"/>
    <n v="2500"/>
    <n v="0.26315789473684209"/>
  </r>
  <r>
    <s v="O0421"/>
    <x v="258"/>
    <s v="Customer 100"/>
    <x v="1"/>
    <x v="0"/>
    <n v="5"/>
    <n v="150000"/>
    <x v="4"/>
    <x v="0"/>
    <n v="120000"/>
    <s v="Dell"/>
    <n v="750000"/>
    <n v="600000"/>
    <n v="150000"/>
    <n v="0.2"/>
  </r>
  <r>
    <s v="O0422"/>
    <x v="151"/>
    <s v="Customer 33"/>
    <x v="3"/>
    <x v="5"/>
    <n v="4"/>
    <n v="9500"/>
    <x v="2"/>
    <x v="1"/>
    <n v="7000"/>
    <s v="Logitech"/>
    <n v="38000"/>
    <n v="28000"/>
    <n v="10000"/>
    <n v="0.26315789473684209"/>
  </r>
  <r>
    <s v="O0423"/>
    <x v="162"/>
    <s v="Customer 27"/>
    <x v="0"/>
    <x v="6"/>
    <n v="5"/>
    <n v="7000"/>
    <x v="7"/>
    <x v="1"/>
    <n v="5000"/>
    <s v="Sony"/>
    <n v="35000"/>
    <n v="25000"/>
    <n v="10000"/>
    <n v="0.2857142857142857"/>
  </r>
  <r>
    <s v="O0424"/>
    <x v="233"/>
    <s v="Customer 18"/>
    <x v="5"/>
    <x v="3"/>
    <n v="3"/>
    <n v="2000"/>
    <x v="4"/>
    <x v="2"/>
    <n v="1200"/>
    <s v="SanDisk"/>
    <n v="6000"/>
    <n v="3600"/>
    <n v="2400"/>
    <n v="0.4"/>
  </r>
  <r>
    <s v="O0425"/>
    <x v="126"/>
    <s v="Customer 78"/>
    <x v="2"/>
    <x v="2"/>
    <n v="3"/>
    <n v="2500"/>
    <x v="0"/>
    <x v="1"/>
    <n v="1500"/>
    <s v="Logitech"/>
    <n v="7500"/>
    <n v="4500"/>
    <n v="3000"/>
    <n v="0.4"/>
  </r>
  <r>
    <s v="O0426"/>
    <x v="164"/>
    <s v="Customer 84"/>
    <x v="1"/>
    <x v="2"/>
    <n v="5"/>
    <n v="2500"/>
    <x v="4"/>
    <x v="1"/>
    <n v="1500"/>
    <s v="Logitech"/>
    <n v="12500"/>
    <n v="7500"/>
    <n v="5000"/>
    <n v="0.4"/>
  </r>
  <r>
    <s v="O0427"/>
    <x v="120"/>
    <s v="Customer 22"/>
    <x v="5"/>
    <x v="9"/>
    <n v="5"/>
    <n v="80000"/>
    <x v="5"/>
    <x v="0"/>
    <n v="65000"/>
    <s v="Samsung"/>
    <n v="400000"/>
    <n v="325000"/>
    <n v="75000"/>
    <n v="0.1875"/>
  </r>
  <r>
    <s v="O0428"/>
    <x v="84"/>
    <s v="Customer 93"/>
    <x v="2"/>
    <x v="4"/>
    <n v="3"/>
    <n v="60000"/>
    <x v="2"/>
    <x v="0"/>
    <n v="50000"/>
    <s v="LG"/>
    <n v="180000"/>
    <n v="150000"/>
    <n v="30000"/>
    <n v="0.16666666666666666"/>
  </r>
  <r>
    <s v="O0429"/>
    <x v="259"/>
    <s v="Customer 57"/>
    <x v="6"/>
    <x v="2"/>
    <n v="2"/>
    <n v="2500"/>
    <x v="5"/>
    <x v="1"/>
    <n v="1500"/>
    <s v="Logitech"/>
    <n v="5000"/>
    <n v="3000"/>
    <n v="2000"/>
    <n v="0.4"/>
  </r>
  <r>
    <s v="O0430"/>
    <x v="36"/>
    <s v="Customer 25"/>
    <x v="0"/>
    <x v="9"/>
    <n v="4"/>
    <n v="80000"/>
    <x v="8"/>
    <x v="0"/>
    <n v="65000"/>
    <s v="Samsung"/>
    <n v="320000"/>
    <n v="260000"/>
    <n v="60000"/>
    <n v="0.1875"/>
  </r>
  <r>
    <s v="O0431"/>
    <x v="175"/>
    <s v="Customer 100"/>
    <x v="7"/>
    <x v="8"/>
    <n v="3"/>
    <n v="18000"/>
    <x v="5"/>
    <x v="2"/>
    <n v="12000"/>
    <s v="Kingston"/>
    <n v="54000"/>
    <n v="36000"/>
    <n v="18000"/>
    <n v="0.33333333333333331"/>
  </r>
  <r>
    <s v="O0432"/>
    <x v="184"/>
    <s v="Customer 54"/>
    <x v="3"/>
    <x v="7"/>
    <n v="4"/>
    <n v="5000"/>
    <x v="7"/>
    <x v="1"/>
    <n v="3500"/>
    <s v="Logitech"/>
    <n v="20000"/>
    <n v="14000"/>
    <n v="6000"/>
    <n v="0.3"/>
  </r>
  <r>
    <s v="O0433"/>
    <x v="63"/>
    <s v="Customer 2"/>
    <x v="7"/>
    <x v="2"/>
    <n v="2"/>
    <n v="2500"/>
    <x v="6"/>
    <x v="1"/>
    <n v="1500"/>
    <s v="Logitech"/>
    <n v="5000"/>
    <n v="3000"/>
    <n v="2000"/>
    <n v="0.4"/>
  </r>
  <r>
    <s v="O0434"/>
    <x v="153"/>
    <s v="Customer 60"/>
    <x v="0"/>
    <x v="0"/>
    <n v="2"/>
    <n v="150000"/>
    <x v="1"/>
    <x v="0"/>
    <n v="120000"/>
    <s v="Dell"/>
    <n v="300000"/>
    <n v="240000"/>
    <n v="60000"/>
    <n v="0.2"/>
  </r>
  <r>
    <s v="O0435"/>
    <x v="98"/>
    <s v="Customer 3"/>
    <x v="3"/>
    <x v="3"/>
    <n v="2"/>
    <n v="2000"/>
    <x v="8"/>
    <x v="2"/>
    <n v="1200"/>
    <s v="SanDisk"/>
    <n v="4000"/>
    <n v="2400"/>
    <n v="1600"/>
    <n v="0.4"/>
  </r>
  <r>
    <s v="O0436"/>
    <x v="58"/>
    <s v="Customer 41"/>
    <x v="1"/>
    <x v="1"/>
    <n v="2"/>
    <n v="45000"/>
    <x v="3"/>
    <x v="0"/>
    <n v="35000"/>
    <s v="HP"/>
    <n v="90000"/>
    <n v="70000"/>
    <n v="20000"/>
    <n v="0.22222222222222221"/>
  </r>
  <r>
    <s v="O0437"/>
    <x v="246"/>
    <s v="Customer 97"/>
    <x v="4"/>
    <x v="6"/>
    <n v="3"/>
    <n v="7000"/>
    <x v="1"/>
    <x v="1"/>
    <n v="5000"/>
    <s v="Sony"/>
    <n v="21000"/>
    <n v="15000"/>
    <n v="6000"/>
    <n v="0.2857142857142857"/>
  </r>
  <r>
    <s v="O0438"/>
    <x v="260"/>
    <s v="Customer 21"/>
    <x v="2"/>
    <x v="4"/>
    <n v="5"/>
    <n v="60000"/>
    <x v="2"/>
    <x v="0"/>
    <n v="50000"/>
    <s v="LG"/>
    <n v="300000"/>
    <n v="250000"/>
    <n v="50000"/>
    <n v="0.16666666666666666"/>
  </r>
  <r>
    <s v="O0439"/>
    <x v="117"/>
    <s v="Customer 62"/>
    <x v="0"/>
    <x v="2"/>
    <n v="1"/>
    <n v="2500"/>
    <x v="2"/>
    <x v="1"/>
    <n v="1500"/>
    <s v="Logitech"/>
    <n v="2500"/>
    <n v="1500"/>
    <n v="1000"/>
    <n v="0.4"/>
  </r>
  <r>
    <s v="O0440"/>
    <x v="5"/>
    <s v="Customer 10"/>
    <x v="6"/>
    <x v="4"/>
    <n v="2"/>
    <n v="60000"/>
    <x v="5"/>
    <x v="0"/>
    <n v="50000"/>
    <s v="LG"/>
    <n v="120000"/>
    <n v="100000"/>
    <n v="20000"/>
    <n v="0.16666666666666666"/>
  </r>
  <r>
    <s v="O0441"/>
    <x v="63"/>
    <s v="Customer 10"/>
    <x v="1"/>
    <x v="5"/>
    <n v="2"/>
    <n v="9500"/>
    <x v="2"/>
    <x v="1"/>
    <n v="7000"/>
    <s v="Logitech"/>
    <n v="19000"/>
    <n v="14000"/>
    <n v="5000"/>
    <n v="0.26315789473684209"/>
  </r>
  <r>
    <s v="O0442"/>
    <x v="201"/>
    <s v="Customer 61"/>
    <x v="1"/>
    <x v="3"/>
    <n v="4"/>
    <n v="2000"/>
    <x v="0"/>
    <x v="2"/>
    <n v="1200"/>
    <s v="SanDisk"/>
    <n v="8000"/>
    <n v="4800"/>
    <n v="3200"/>
    <n v="0.4"/>
  </r>
  <r>
    <s v="O0443"/>
    <x v="136"/>
    <s v="Customer 44"/>
    <x v="7"/>
    <x v="4"/>
    <n v="4"/>
    <n v="60000"/>
    <x v="5"/>
    <x v="0"/>
    <n v="50000"/>
    <s v="LG"/>
    <n v="240000"/>
    <n v="200000"/>
    <n v="40000"/>
    <n v="0.16666666666666666"/>
  </r>
  <r>
    <s v="O0444"/>
    <x v="36"/>
    <s v="Customer 67"/>
    <x v="1"/>
    <x v="7"/>
    <n v="1"/>
    <n v="5000"/>
    <x v="9"/>
    <x v="1"/>
    <n v="3500"/>
    <s v="Logitech"/>
    <n v="5000"/>
    <n v="3500"/>
    <n v="1500"/>
    <n v="0.3"/>
  </r>
  <r>
    <s v="O0445"/>
    <x v="231"/>
    <s v="Customer 87"/>
    <x v="5"/>
    <x v="0"/>
    <n v="2"/>
    <n v="150000"/>
    <x v="5"/>
    <x v="0"/>
    <n v="120000"/>
    <s v="Dell"/>
    <n v="300000"/>
    <n v="240000"/>
    <n v="60000"/>
    <n v="0.2"/>
  </r>
  <r>
    <s v="O0446"/>
    <x v="14"/>
    <s v="Customer 15"/>
    <x v="5"/>
    <x v="1"/>
    <n v="4"/>
    <n v="45000"/>
    <x v="0"/>
    <x v="0"/>
    <n v="35000"/>
    <s v="HP"/>
    <n v="180000"/>
    <n v="140000"/>
    <n v="40000"/>
    <n v="0.22222222222222221"/>
  </r>
  <r>
    <s v="O0447"/>
    <x v="55"/>
    <s v="Customer 64"/>
    <x v="5"/>
    <x v="9"/>
    <n v="5"/>
    <n v="80000"/>
    <x v="0"/>
    <x v="0"/>
    <n v="65000"/>
    <s v="Samsung"/>
    <n v="400000"/>
    <n v="325000"/>
    <n v="75000"/>
    <n v="0.1875"/>
  </r>
  <r>
    <s v="O0448"/>
    <x v="63"/>
    <s v="Customer 13"/>
    <x v="5"/>
    <x v="9"/>
    <n v="1"/>
    <n v="80000"/>
    <x v="1"/>
    <x v="0"/>
    <n v="65000"/>
    <s v="Samsung"/>
    <n v="80000"/>
    <n v="65000"/>
    <n v="15000"/>
    <n v="0.1875"/>
  </r>
  <r>
    <s v="O0449"/>
    <x v="149"/>
    <s v="Customer 96"/>
    <x v="5"/>
    <x v="8"/>
    <n v="3"/>
    <n v="18000"/>
    <x v="9"/>
    <x v="2"/>
    <n v="12000"/>
    <s v="Kingston"/>
    <n v="54000"/>
    <n v="36000"/>
    <n v="18000"/>
    <n v="0.33333333333333331"/>
  </r>
  <r>
    <s v="O0450"/>
    <x v="110"/>
    <s v="Customer 79"/>
    <x v="5"/>
    <x v="4"/>
    <n v="5"/>
    <n v="60000"/>
    <x v="4"/>
    <x v="0"/>
    <n v="50000"/>
    <s v="LG"/>
    <n v="300000"/>
    <n v="250000"/>
    <n v="50000"/>
    <n v="0.16666666666666666"/>
  </r>
  <r>
    <s v="O0451"/>
    <x v="261"/>
    <s v="Customer 2"/>
    <x v="6"/>
    <x v="6"/>
    <n v="5"/>
    <n v="7000"/>
    <x v="1"/>
    <x v="1"/>
    <n v="5000"/>
    <s v="Sony"/>
    <n v="35000"/>
    <n v="25000"/>
    <n v="10000"/>
    <n v="0.2857142857142857"/>
  </r>
  <r>
    <s v="O0452"/>
    <x v="189"/>
    <s v="Customer 27"/>
    <x v="2"/>
    <x v="0"/>
    <n v="3"/>
    <n v="150000"/>
    <x v="5"/>
    <x v="0"/>
    <n v="120000"/>
    <s v="Dell"/>
    <n v="450000"/>
    <n v="360000"/>
    <n v="90000"/>
    <n v="0.2"/>
  </r>
  <r>
    <s v="O0453"/>
    <x v="145"/>
    <s v="Customer 98"/>
    <x v="1"/>
    <x v="4"/>
    <n v="1"/>
    <n v="60000"/>
    <x v="8"/>
    <x v="0"/>
    <n v="50000"/>
    <s v="LG"/>
    <n v="60000"/>
    <n v="50000"/>
    <n v="10000"/>
    <n v="0.16666666666666666"/>
  </r>
  <r>
    <s v="O0454"/>
    <x v="223"/>
    <s v="Customer 5"/>
    <x v="2"/>
    <x v="0"/>
    <n v="1"/>
    <n v="150000"/>
    <x v="7"/>
    <x v="0"/>
    <n v="120000"/>
    <s v="Dell"/>
    <n v="150000"/>
    <n v="120000"/>
    <n v="30000"/>
    <n v="0.2"/>
  </r>
  <r>
    <s v="O0455"/>
    <x v="262"/>
    <s v="Customer 17"/>
    <x v="2"/>
    <x v="7"/>
    <n v="5"/>
    <n v="5000"/>
    <x v="0"/>
    <x v="1"/>
    <n v="3500"/>
    <s v="Logitech"/>
    <n v="25000"/>
    <n v="17500"/>
    <n v="7500"/>
    <n v="0.3"/>
  </r>
  <r>
    <s v="O0456"/>
    <x v="126"/>
    <s v="Customer 80"/>
    <x v="0"/>
    <x v="0"/>
    <n v="2"/>
    <n v="150000"/>
    <x v="6"/>
    <x v="0"/>
    <n v="120000"/>
    <s v="Dell"/>
    <n v="300000"/>
    <n v="240000"/>
    <n v="60000"/>
    <n v="0.2"/>
  </r>
  <r>
    <s v="O0457"/>
    <x v="65"/>
    <s v="Customer 62"/>
    <x v="3"/>
    <x v="1"/>
    <n v="5"/>
    <n v="45000"/>
    <x v="0"/>
    <x v="0"/>
    <n v="35000"/>
    <s v="HP"/>
    <n v="225000"/>
    <n v="175000"/>
    <n v="50000"/>
    <n v="0.22222222222222221"/>
  </r>
  <r>
    <s v="O0458"/>
    <x v="241"/>
    <s v="Customer 47"/>
    <x v="7"/>
    <x v="7"/>
    <n v="2"/>
    <n v="5000"/>
    <x v="4"/>
    <x v="1"/>
    <n v="3500"/>
    <s v="Logitech"/>
    <n v="10000"/>
    <n v="7000"/>
    <n v="3000"/>
    <n v="0.3"/>
  </r>
  <r>
    <s v="O0459"/>
    <x v="54"/>
    <s v="Customer 50"/>
    <x v="7"/>
    <x v="8"/>
    <n v="1"/>
    <n v="18000"/>
    <x v="1"/>
    <x v="2"/>
    <n v="12000"/>
    <s v="Kingston"/>
    <n v="18000"/>
    <n v="12000"/>
    <n v="6000"/>
    <n v="0.33333333333333331"/>
  </r>
  <r>
    <s v="O0460"/>
    <x v="190"/>
    <s v="Customer 95"/>
    <x v="5"/>
    <x v="6"/>
    <n v="4"/>
    <n v="7000"/>
    <x v="5"/>
    <x v="1"/>
    <n v="5000"/>
    <s v="Sony"/>
    <n v="28000"/>
    <n v="20000"/>
    <n v="8000"/>
    <n v="0.2857142857142857"/>
  </r>
  <r>
    <s v="O0461"/>
    <x v="263"/>
    <s v="Customer 58"/>
    <x v="0"/>
    <x v="6"/>
    <n v="5"/>
    <n v="7000"/>
    <x v="7"/>
    <x v="1"/>
    <n v="5000"/>
    <s v="Sony"/>
    <n v="35000"/>
    <n v="25000"/>
    <n v="10000"/>
    <n v="0.2857142857142857"/>
  </r>
  <r>
    <s v="O0462"/>
    <x v="183"/>
    <s v="Customer 47"/>
    <x v="6"/>
    <x v="1"/>
    <n v="3"/>
    <n v="45000"/>
    <x v="6"/>
    <x v="0"/>
    <n v="35000"/>
    <s v="HP"/>
    <n v="135000"/>
    <n v="105000"/>
    <n v="30000"/>
    <n v="0.22222222222222221"/>
  </r>
  <r>
    <s v="O0463"/>
    <x v="251"/>
    <s v="Customer 75"/>
    <x v="6"/>
    <x v="8"/>
    <n v="2"/>
    <n v="18000"/>
    <x v="5"/>
    <x v="2"/>
    <n v="12000"/>
    <s v="Kingston"/>
    <n v="36000"/>
    <n v="24000"/>
    <n v="12000"/>
    <n v="0.33333333333333331"/>
  </r>
  <r>
    <s v="O0464"/>
    <x v="80"/>
    <s v="Customer 82"/>
    <x v="2"/>
    <x v="0"/>
    <n v="3"/>
    <n v="150000"/>
    <x v="7"/>
    <x v="0"/>
    <n v="120000"/>
    <s v="Dell"/>
    <n v="450000"/>
    <n v="360000"/>
    <n v="90000"/>
    <n v="0.2"/>
  </r>
  <r>
    <s v="O0465"/>
    <x v="247"/>
    <s v="Customer 77"/>
    <x v="3"/>
    <x v="5"/>
    <n v="1"/>
    <n v="9500"/>
    <x v="3"/>
    <x v="1"/>
    <n v="7000"/>
    <s v="Logitech"/>
    <n v="9500"/>
    <n v="7000"/>
    <n v="2500"/>
    <n v="0.26315789473684209"/>
  </r>
  <r>
    <s v="O0466"/>
    <x v="264"/>
    <s v="Customer 50"/>
    <x v="0"/>
    <x v="6"/>
    <n v="3"/>
    <n v="7000"/>
    <x v="9"/>
    <x v="1"/>
    <n v="5000"/>
    <s v="Sony"/>
    <n v="21000"/>
    <n v="15000"/>
    <n v="6000"/>
    <n v="0.2857142857142857"/>
  </r>
  <r>
    <s v="O0467"/>
    <x v="172"/>
    <s v="Customer 43"/>
    <x v="0"/>
    <x v="2"/>
    <n v="3"/>
    <n v="2500"/>
    <x v="8"/>
    <x v="1"/>
    <n v="1500"/>
    <s v="Logitech"/>
    <n v="7500"/>
    <n v="4500"/>
    <n v="3000"/>
    <n v="0.4"/>
  </r>
  <r>
    <s v="O0468"/>
    <x v="242"/>
    <s v="Customer 41"/>
    <x v="5"/>
    <x v="1"/>
    <n v="5"/>
    <n v="45000"/>
    <x v="4"/>
    <x v="0"/>
    <n v="35000"/>
    <s v="HP"/>
    <n v="225000"/>
    <n v="175000"/>
    <n v="50000"/>
    <n v="0.22222222222222221"/>
  </r>
  <r>
    <s v="O0469"/>
    <x v="199"/>
    <s v="Customer 2"/>
    <x v="3"/>
    <x v="9"/>
    <n v="5"/>
    <n v="80000"/>
    <x v="8"/>
    <x v="0"/>
    <n v="65000"/>
    <s v="Samsung"/>
    <n v="400000"/>
    <n v="325000"/>
    <n v="75000"/>
    <n v="0.1875"/>
  </r>
  <r>
    <s v="O0470"/>
    <x v="257"/>
    <s v="Customer 47"/>
    <x v="3"/>
    <x v="6"/>
    <n v="2"/>
    <n v="7000"/>
    <x v="0"/>
    <x v="1"/>
    <n v="5000"/>
    <s v="Sony"/>
    <n v="14000"/>
    <n v="10000"/>
    <n v="4000"/>
    <n v="0.2857142857142857"/>
  </r>
  <r>
    <s v="O0471"/>
    <x v="20"/>
    <s v="Customer 72"/>
    <x v="6"/>
    <x v="0"/>
    <n v="2"/>
    <n v="150000"/>
    <x v="3"/>
    <x v="0"/>
    <n v="120000"/>
    <s v="Dell"/>
    <n v="300000"/>
    <n v="240000"/>
    <n v="60000"/>
    <n v="0.2"/>
  </r>
  <r>
    <s v="O0472"/>
    <x v="265"/>
    <s v="Customer 9"/>
    <x v="3"/>
    <x v="6"/>
    <n v="3"/>
    <n v="7000"/>
    <x v="3"/>
    <x v="1"/>
    <n v="5000"/>
    <s v="Sony"/>
    <n v="21000"/>
    <n v="15000"/>
    <n v="6000"/>
    <n v="0.2857142857142857"/>
  </r>
  <r>
    <s v="O0473"/>
    <x v="245"/>
    <s v="Customer 62"/>
    <x v="7"/>
    <x v="1"/>
    <n v="5"/>
    <n v="45000"/>
    <x v="1"/>
    <x v="0"/>
    <n v="35000"/>
    <s v="HP"/>
    <n v="225000"/>
    <n v="175000"/>
    <n v="50000"/>
    <n v="0.22222222222222221"/>
  </r>
  <r>
    <s v="O0474"/>
    <x v="195"/>
    <s v="Customer 16"/>
    <x v="6"/>
    <x v="9"/>
    <n v="4"/>
    <n v="80000"/>
    <x v="8"/>
    <x v="0"/>
    <n v="65000"/>
    <s v="Samsung"/>
    <n v="320000"/>
    <n v="260000"/>
    <n v="60000"/>
    <n v="0.1875"/>
  </r>
  <r>
    <s v="O0475"/>
    <x v="148"/>
    <s v="Customer 53"/>
    <x v="4"/>
    <x v="4"/>
    <n v="4"/>
    <n v="60000"/>
    <x v="5"/>
    <x v="0"/>
    <n v="50000"/>
    <s v="LG"/>
    <n v="240000"/>
    <n v="200000"/>
    <n v="40000"/>
    <n v="0.16666666666666666"/>
  </r>
  <r>
    <s v="O0476"/>
    <x v="53"/>
    <s v="Customer 24"/>
    <x v="6"/>
    <x v="9"/>
    <n v="3"/>
    <n v="80000"/>
    <x v="8"/>
    <x v="0"/>
    <n v="65000"/>
    <s v="Samsung"/>
    <n v="240000"/>
    <n v="195000"/>
    <n v="45000"/>
    <n v="0.1875"/>
  </r>
  <r>
    <s v="O0477"/>
    <x v="266"/>
    <s v="Customer 46"/>
    <x v="3"/>
    <x v="7"/>
    <n v="4"/>
    <n v="5000"/>
    <x v="9"/>
    <x v="1"/>
    <n v="3500"/>
    <s v="Logitech"/>
    <n v="20000"/>
    <n v="14000"/>
    <n v="6000"/>
    <n v="0.3"/>
  </r>
  <r>
    <s v="O0478"/>
    <x v="249"/>
    <s v="Customer 22"/>
    <x v="0"/>
    <x v="4"/>
    <n v="1"/>
    <n v="60000"/>
    <x v="3"/>
    <x v="0"/>
    <n v="50000"/>
    <s v="LG"/>
    <n v="60000"/>
    <n v="50000"/>
    <n v="10000"/>
    <n v="0.16666666666666666"/>
  </r>
  <r>
    <s v="O0479"/>
    <x v="205"/>
    <s v="Customer 3"/>
    <x v="0"/>
    <x v="7"/>
    <n v="2"/>
    <n v="5000"/>
    <x v="6"/>
    <x v="1"/>
    <n v="3500"/>
    <s v="Logitech"/>
    <n v="10000"/>
    <n v="7000"/>
    <n v="3000"/>
    <n v="0.3"/>
  </r>
  <r>
    <s v="O0480"/>
    <x v="169"/>
    <s v="Customer 64"/>
    <x v="3"/>
    <x v="3"/>
    <n v="5"/>
    <n v="2000"/>
    <x v="4"/>
    <x v="2"/>
    <n v="1200"/>
    <s v="SanDisk"/>
    <n v="10000"/>
    <n v="6000"/>
    <n v="4000"/>
    <n v="0.4"/>
  </r>
  <r>
    <s v="O0481"/>
    <x v="251"/>
    <s v="Customer 72"/>
    <x v="0"/>
    <x v="9"/>
    <n v="2"/>
    <n v="80000"/>
    <x v="2"/>
    <x v="0"/>
    <n v="65000"/>
    <s v="Samsung"/>
    <n v="160000"/>
    <n v="130000"/>
    <n v="30000"/>
    <n v="0.1875"/>
  </r>
  <r>
    <s v="O0482"/>
    <x v="267"/>
    <s v="Customer 11"/>
    <x v="0"/>
    <x v="6"/>
    <n v="3"/>
    <n v="7000"/>
    <x v="7"/>
    <x v="1"/>
    <n v="5000"/>
    <s v="Sony"/>
    <n v="21000"/>
    <n v="15000"/>
    <n v="6000"/>
    <n v="0.2857142857142857"/>
  </r>
  <r>
    <s v="O0483"/>
    <x v="51"/>
    <s v="Customer 97"/>
    <x v="4"/>
    <x v="0"/>
    <n v="5"/>
    <n v="150000"/>
    <x v="6"/>
    <x v="0"/>
    <n v="120000"/>
    <s v="Dell"/>
    <n v="750000"/>
    <n v="600000"/>
    <n v="150000"/>
    <n v="0.2"/>
  </r>
  <r>
    <s v="O0484"/>
    <x v="102"/>
    <s v="Customer 4"/>
    <x v="0"/>
    <x v="8"/>
    <n v="2"/>
    <n v="18000"/>
    <x v="9"/>
    <x v="2"/>
    <n v="12000"/>
    <s v="Kingston"/>
    <n v="36000"/>
    <n v="24000"/>
    <n v="12000"/>
    <n v="0.33333333333333331"/>
  </r>
  <r>
    <s v="O0485"/>
    <x v="10"/>
    <s v="Customer 32"/>
    <x v="2"/>
    <x v="5"/>
    <n v="1"/>
    <n v="9500"/>
    <x v="5"/>
    <x v="1"/>
    <n v="7000"/>
    <s v="Logitech"/>
    <n v="9500"/>
    <n v="7000"/>
    <n v="2500"/>
    <n v="0.26315789473684209"/>
  </r>
  <r>
    <s v="O0486"/>
    <x v="128"/>
    <s v="Customer 18"/>
    <x v="3"/>
    <x v="6"/>
    <n v="5"/>
    <n v="7000"/>
    <x v="7"/>
    <x v="1"/>
    <n v="5000"/>
    <s v="Sony"/>
    <n v="35000"/>
    <n v="25000"/>
    <n v="10000"/>
    <n v="0.2857142857142857"/>
  </r>
  <r>
    <s v="O0487"/>
    <x v="234"/>
    <s v="Customer 8"/>
    <x v="2"/>
    <x v="0"/>
    <n v="5"/>
    <n v="150000"/>
    <x v="7"/>
    <x v="0"/>
    <n v="120000"/>
    <s v="Dell"/>
    <n v="750000"/>
    <n v="600000"/>
    <n v="150000"/>
    <n v="0.2"/>
  </r>
  <r>
    <s v="O0488"/>
    <x v="252"/>
    <s v="Customer 82"/>
    <x v="6"/>
    <x v="0"/>
    <n v="2"/>
    <n v="150000"/>
    <x v="0"/>
    <x v="0"/>
    <n v="120000"/>
    <s v="Dell"/>
    <n v="300000"/>
    <n v="240000"/>
    <n v="60000"/>
    <n v="0.2"/>
  </r>
  <r>
    <s v="O0489"/>
    <x v="259"/>
    <s v="Customer 69"/>
    <x v="1"/>
    <x v="0"/>
    <n v="1"/>
    <n v="150000"/>
    <x v="1"/>
    <x v="0"/>
    <n v="120000"/>
    <s v="Dell"/>
    <n v="150000"/>
    <n v="120000"/>
    <n v="30000"/>
    <n v="0.2"/>
  </r>
  <r>
    <s v="O0490"/>
    <x v="169"/>
    <s v="Customer 88"/>
    <x v="6"/>
    <x v="5"/>
    <n v="4"/>
    <n v="9500"/>
    <x v="8"/>
    <x v="1"/>
    <n v="7000"/>
    <s v="Logitech"/>
    <n v="38000"/>
    <n v="28000"/>
    <n v="10000"/>
    <n v="0.26315789473684209"/>
  </r>
  <r>
    <s v="O0491"/>
    <x v="71"/>
    <s v="Customer 4"/>
    <x v="1"/>
    <x v="8"/>
    <n v="3"/>
    <n v="18000"/>
    <x v="9"/>
    <x v="2"/>
    <n v="12000"/>
    <s v="Kingston"/>
    <n v="54000"/>
    <n v="36000"/>
    <n v="18000"/>
    <n v="0.33333333333333331"/>
  </r>
  <r>
    <s v="O0492"/>
    <x v="93"/>
    <s v="Customer 50"/>
    <x v="6"/>
    <x v="9"/>
    <n v="2"/>
    <n v="80000"/>
    <x v="9"/>
    <x v="0"/>
    <n v="65000"/>
    <s v="Samsung"/>
    <n v="160000"/>
    <n v="130000"/>
    <n v="30000"/>
    <n v="0.1875"/>
  </r>
  <r>
    <s v="O0493"/>
    <x v="268"/>
    <s v="Customer 47"/>
    <x v="1"/>
    <x v="5"/>
    <n v="2"/>
    <n v="9500"/>
    <x v="5"/>
    <x v="1"/>
    <n v="7000"/>
    <s v="Logitech"/>
    <n v="19000"/>
    <n v="14000"/>
    <n v="5000"/>
    <n v="0.26315789473684209"/>
  </r>
  <r>
    <s v="O0494"/>
    <x v="269"/>
    <s v="Customer 64"/>
    <x v="6"/>
    <x v="1"/>
    <n v="3"/>
    <n v="45000"/>
    <x v="4"/>
    <x v="0"/>
    <n v="35000"/>
    <s v="HP"/>
    <n v="135000"/>
    <n v="105000"/>
    <n v="30000"/>
    <n v="0.22222222222222221"/>
  </r>
  <r>
    <s v="O0495"/>
    <x v="32"/>
    <s v="Customer 47"/>
    <x v="0"/>
    <x v="4"/>
    <n v="1"/>
    <n v="60000"/>
    <x v="9"/>
    <x v="0"/>
    <n v="50000"/>
    <s v="LG"/>
    <n v="60000"/>
    <n v="50000"/>
    <n v="10000"/>
    <n v="0.16666666666666666"/>
  </r>
  <r>
    <s v="O0496"/>
    <x v="71"/>
    <s v="Customer 81"/>
    <x v="0"/>
    <x v="8"/>
    <n v="2"/>
    <n v="18000"/>
    <x v="1"/>
    <x v="2"/>
    <n v="12000"/>
    <s v="Kingston"/>
    <n v="36000"/>
    <n v="24000"/>
    <n v="12000"/>
    <n v="0.33333333333333331"/>
  </r>
  <r>
    <s v="O0497"/>
    <x v="1"/>
    <s v="Customer 94"/>
    <x v="1"/>
    <x v="7"/>
    <n v="4"/>
    <n v="5000"/>
    <x v="3"/>
    <x v="1"/>
    <n v="3500"/>
    <s v="Logitech"/>
    <n v="20000"/>
    <n v="14000"/>
    <n v="6000"/>
    <n v="0.3"/>
  </r>
  <r>
    <s v="O0498"/>
    <x v="238"/>
    <s v="Customer 9"/>
    <x v="7"/>
    <x v="2"/>
    <n v="1"/>
    <n v="2500"/>
    <x v="9"/>
    <x v="1"/>
    <n v="1500"/>
    <s v="Logitech"/>
    <n v="2500"/>
    <n v="1500"/>
    <n v="1000"/>
    <n v="0.4"/>
  </r>
  <r>
    <s v="O0499"/>
    <x v="29"/>
    <s v="Customer 36"/>
    <x v="1"/>
    <x v="5"/>
    <n v="1"/>
    <n v="9500"/>
    <x v="1"/>
    <x v="1"/>
    <n v="7000"/>
    <s v="Logitech"/>
    <n v="9500"/>
    <n v="7000"/>
    <n v="2500"/>
    <n v="0.26315789473684209"/>
  </r>
  <r>
    <s v="O0500"/>
    <x v="176"/>
    <s v="Customer 16"/>
    <x v="1"/>
    <x v="0"/>
    <n v="1"/>
    <n v="150000"/>
    <x v="5"/>
    <x v="0"/>
    <n v="120000"/>
    <s v="Dell"/>
    <n v="150000"/>
    <n v="120000"/>
    <n v="30000"/>
    <n v="0.2"/>
  </r>
  <r>
    <s v="O0501"/>
    <x v="101"/>
    <s v="Customer 39"/>
    <x v="6"/>
    <x v="4"/>
    <n v="2"/>
    <n v="60000"/>
    <x v="6"/>
    <x v="0"/>
    <n v="50000"/>
    <s v="LG"/>
    <n v="120000"/>
    <n v="100000"/>
    <n v="20000"/>
    <n v="0.16666666666666666"/>
  </r>
  <r>
    <s v="O0502"/>
    <x v="46"/>
    <s v="Customer 1"/>
    <x v="4"/>
    <x v="1"/>
    <n v="5"/>
    <n v="45000"/>
    <x v="8"/>
    <x v="0"/>
    <n v="35000"/>
    <s v="HP"/>
    <n v="225000"/>
    <n v="175000"/>
    <n v="50000"/>
    <n v="0.22222222222222221"/>
  </r>
  <r>
    <s v="O0503"/>
    <x v="270"/>
    <s v="Customer 79"/>
    <x v="2"/>
    <x v="1"/>
    <n v="2"/>
    <n v="45000"/>
    <x v="6"/>
    <x v="0"/>
    <n v="35000"/>
    <s v="HP"/>
    <n v="90000"/>
    <n v="70000"/>
    <n v="20000"/>
    <n v="0.22222222222222221"/>
  </r>
  <r>
    <s v="O0504"/>
    <x v="271"/>
    <s v="Customer 43"/>
    <x v="3"/>
    <x v="9"/>
    <n v="3"/>
    <n v="80000"/>
    <x v="3"/>
    <x v="0"/>
    <n v="65000"/>
    <s v="Samsung"/>
    <n v="240000"/>
    <n v="195000"/>
    <n v="45000"/>
    <n v="0.1875"/>
  </r>
  <r>
    <s v="O0505"/>
    <x v="221"/>
    <s v="Customer 71"/>
    <x v="6"/>
    <x v="9"/>
    <n v="2"/>
    <n v="80000"/>
    <x v="9"/>
    <x v="0"/>
    <n v="65000"/>
    <s v="Samsung"/>
    <n v="160000"/>
    <n v="130000"/>
    <n v="30000"/>
    <n v="0.1875"/>
  </r>
  <r>
    <s v="O0506"/>
    <x v="261"/>
    <s v="Customer 43"/>
    <x v="7"/>
    <x v="8"/>
    <n v="2"/>
    <n v="18000"/>
    <x v="2"/>
    <x v="2"/>
    <n v="12000"/>
    <s v="Kingston"/>
    <n v="36000"/>
    <n v="24000"/>
    <n v="12000"/>
    <n v="0.33333333333333331"/>
  </r>
  <r>
    <s v="O0507"/>
    <x v="97"/>
    <s v="Customer 91"/>
    <x v="7"/>
    <x v="1"/>
    <n v="4"/>
    <n v="45000"/>
    <x v="8"/>
    <x v="0"/>
    <n v="35000"/>
    <s v="HP"/>
    <n v="180000"/>
    <n v="140000"/>
    <n v="40000"/>
    <n v="0.22222222222222221"/>
  </r>
  <r>
    <s v="O0508"/>
    <x v="272"/>
    <s v="Customer 12"/>
    <x v="5"/>
    <x v="4"/>
    <n v="5"/>
    <n v="60000"/>
    <x v="2"/>
    <x v="0"/>
    <n v="50000"/>
    <s v="LG"/>
    <n v="300000"/>
    <n v="250000"/>
    <n v="50000"/>
    <n v="0.16666666666666666"/>
  </r>
  <r>
    <s v="O0509"/>
    <x v="260"/>
    <s v="Customer 29"/>
    <x v="6"/>
    <x v="1"/>
    <n v="1"/>
    <n v="45000"/>
    <x v="0"/>
    <x v="0"/>
    <n v="35000"/>
    <s v="HP"/>
    <n v="45000"/>
    <n v="35000"/>
    <n v="10000"/>
    <n v="0.22222222222222221"/>
  </r>
  <r>
    <s v="O0510"/>
    <x v="273"/>
    <s v="Customer 33"/>
    <x v="0"/>
    <x v="2"/>
    <n v="2"/>
    <n v="2500"/>
    <x v="8"/>
    <x v="1"/>
    <n v="1500"/>
    <s v="Logitech"/>
    <n v="5000"/>
    <n v="3000"/>
    <n v="2000"/>
    <n v="0.4"/>
  </r>
  <r>
    <s v="O0511"/>
    <x v="13"/>
    <s v="Customer 74"/>
    <x v="2"/>
    <x v="6"/>
    <n v="5"/>
    <n v="7000"/>
    <x v="5"/>
    <x v="1"/>
    <n v="5000"/>
    <s v="Sony"/>
    <n v="35000"/>
    <n v="25000"/>
    <n v="10000"/>
    <n v="0.2857142857142857"/>
  </r>
  <r>
    <s v="O0512"/>
    <x v="274"/>
    <s v="Customer 17"/>
    <x v="0"/>
    <x v="7"/>
    <n v="2"/>
    <n v="5000"/>
    <x v="4"/>
    <x v="1"/>
    <n v="3500"/>
    <s v="Logitech"/>
    <n v="10000"/>
    <n v="7000"/>
    <n v="3000"/>
    <n v="0.3"/>
  </r>
  <r>
    <s v="O0513"/>
    <x v="131"/>
    <s v="Customer 90"/>
    <x v="4"/>
    <x v="9"/>
    <n v="5"/>
    <n v="80000"/>
    <x v="1"/>
    <x v="0"/>
    <n v="65000"/>
    <s v="Samsung"/>
    <n v="400000"/>
    <n v="325000"/>
    <n v="75000"/>
    <n v="0.1875"/>
  </r>
  <r>
    <s v="O0514"/>
    <x v="275"/>
    <s v="Customer 32"/>
    <x v="0"/>
    <x v="0"/>
    <n v="3"/>
    <n v="150000"/>
    <x v="7"/>
    <x v="0"/>
    <n v="120000"/>
    <s v="Dell"/>
    <n v="450000"/>
    <n v="360000"/>
    <n v="90000"/>
    <n v="0.2"/>
  </r>
  <r>
    <s v="O0515"/>
    <x v="55"/>
    <s v="Customer 1"/>
    <x v="6"/>
    <x v="9"/>
    <n v="5"/>
    <n v="80000"/>
    <x v="5"/>
    <x v="0"/>
    <n v="65000"/>
    <s v="Samsung"/>
    <n v="400000"/>
    <n v="325000"/>
    <n v="75000"/>
    <n v="0.1875"/>
  </r>
  <r>
    <s v="O0516"/>
    <x v="173"/>
    <s v="Customer 39"/>
    <x v="4"/>
    <x v="5"/>
    <n v="1"/>
    <n v="9500"/>
    <x v="7"/>
    <x v="1"/>
    <n v="7000"/>
    <s v="Logitech"/>
    <n v="9500"/>
    <n v="7000"/>
    <n v="2500"/>
    <n v="0.26315789473684209"/>
  </r>
  <r>
    <s v="O0517"/>
    <x v="217"/>
    <s v="Customer 17"/>
    <x v="7"/>
    <x v="6"/>
    <n v="4"/>
    <n v="7000"/>
    <x v="8"/>
    <x v="1"/>
    <n v="5000"/>
    <s v="Sony"/>
    <n v="28000"/>
    <n v="20000"/>
    <n v="8000"/>
    <n v="0.2857142857142857"/>
  </r>
  <r>
    <s v="O0518"/>
    <x v="276"/>
    <s v="Customer 10"/>
    <x v="7"/>
    <x v="3"/>
    <n v="2"/>
    <n v="2000"/>
    <x v="3"/>
    <x v="2"/>
    <n v="1200"/>
    <s v="SanDisk"/>
    <n v="4000"/>
    <n v="2400"/>
    <n v="1600"/>
    <n v="0.4"/>
  </r>
  <r>
    <s v="O0519"/>
    <x v="80"/>
    <s v="Customer 12"/>
    <x v="1"/>
    <x v="4"/>
    <n v="4"/>
    <n v="60000"/>
    <x v="2"/>
    <x v="0"/>
    <n v="50000"/>
    <s v="LG"/>
    <n v="240000"/>
    <n v="200000"/>
    <n v="40000"/>
    <n v="0.16666666666666666"/>
  </r>
  <r>
    <s v="O0520"/>
    <x v="71"/>
    <s v="Customer 8"/>
    <x v="2"/>
    <x v="3"/>
    <n v="2"/>
    <n v="2000"/>
    <x v="2"/>
    <x v="2"/>
    <n v="1200"/>
    <s v="SanDisk"/>
    <n v="4000"/>
    <n v="2400"/>
    <n v="1600"/>
    <n v="0.4"/>
  </r>
  <r>
    <s v="O0521"/>
    <x v="142"/>
    <s v="Customer 15"/>
    <x v="5"/>
    <x v="0"/>
    <n v="1"/>
    <n v="150000"/>
    <x v="6"/>
    <x v="0"/>
    <n v="120000"/>
    <s v="Dell"/>
    <n v="150000"/>
    <n v="120000"/>
    <n v="30000"/>
    <n v="0.2"/>
  </r>
  <r>
    <s v="O0522"/>
    <x v="114"/>
    <s v="Customer 15"/>
    <x v="1"/>
    <x v="2"/>
    <n v="2"/>
    <n v="2500"/>
    <x v="4"/>
    <x v="1"/>
    <n v="1500"/>
    <s v="Logitech"/>
    <n v="5000"/>
    <n v="3000"/>
    <n v="2000"/>
    <n v="0.4"/>
  </r>
  <r>
    <s v="O0523"/>
    <x v="277"/>
    <s v="Customer 11"/>
    <x v="4"/>
    <x v="1"/>
    <n v="3"/>
    <n v="45000"/>
    <x v="7"/>
    <x v="0"/>
    <n v="35000"/>
    <s v="HP"/>
    <n v="135000"/>
    <n v="105000"/>
    <n v="30000"/>
    <n v="0.22222222222222221"/>
  </r>
  <r>
    <s v="O0524"/>
    <x v="14"/>
    <s v="Customer 90"/>
    <x v="3"/>
    <x v="5"/>
    <n v="1"/>
    <n v="9500"/>
    <x v="1"/>
    <x v="1"/>
    <n v="7000"/>
    <s v="Logitech"/>
    <n v="9500"/>
    <n v="7000"/>
    <n v="2500"/>
    <n v="0.26315789473684209"/>
  </r>
  <r>
    <s v="O0525"/>
    <x v="278"/>
    <s v="Customer 61"/>
    <x v="5"/>
    <x v="5"/>
    <n v="4"/>
    <n v="9500"/>
    <x v="5"/>
    <x v="1"/>
    <n v="7000"/>
    <s v="Logitech"/>
    <n v="38000"/>
    <n v="28000"/>
    <n v="10000"/>
    <n v="0.26315789473684209"/>
  </r>
  <r>
    <s v="O0526"/>
    <x v="176"/>
    <s v="Customer 94"/>
    <x v="1"/>
    <x v="9"/>
    <n v="4"/>
    <n v="80000"/>
    <x v="4"/>
    <x v="0"/>
    <n v="65000"/>
    <s v="Samsung"/>
    <n v="320000"/>
    <n v="260000"/>
    <n v="60000"/>
    <n v="0.1875"/>
  </r>
  <r>
    <s v="O0527"/>
    <x v="279"/>
    <s v="Customer 100"/>
    <x v="4"/>
    <x v="5"/>
    <n v="2"/>
    <n v="9500"/>
    <x v="9"/>
    <x v="1"/>
    <n v="7000"/>
    <s v="Logitech"/>
    <n v="19000"/>
    <n v="14000"/>
    <n v="5000"/>
    <n v="0.26315789473684209"/>
  </r>
  <r>
    <s v="O0528"/>
    <x v="213"/>
    <s v="Customer 90"/>
    <x v="4"/>
    <x v="8"/>
    <n v="1"/>
    <n v="18000"/>
    <x v="0"/>
    <x v="2"/>
    <n v="12000"/>
    <s v="Kingston"/>
    <n v="18000"/>
    <n v="12000"/>
    <n v="6000"/>
    <n v="0.33333333333333331"/>
  </r>
  <r>
    <s v="O0529"/>
    <x v="280"/>
    <s v="Customer 54"/>
    <x v="3"/>
    <x v="6"/>
    <n v="4"/>
    <n v="7000"/>
    <x v="7"/>
    <x v="1"/>
    <n v="5000"/>
    <s v="Sony"/>
    <n v="28000"/>
    <n v="20000"/>
    <n v="8000"/>
    <n v="0.2857142857142857"/>
  </r>
  <r>
    <s v="O0530"/>
    <x v="81"/>
    <s v="Customer 19"/>
    <x v="6"/>
    <x v="8"/>
    <n v="3"/>
    <n v="18000"/>
    <x v="9"/>
    <x v="2"/>
    <n v="12000"/>
    <s v="Kingston"/>
    <n v="54000"/>
    <n v="36000"/>
    <n v="18000"/>
    <n v="0.33333333333333331"/>
  </r>
  <r>
    <s v="O0531"/>
    <x v="281"/>
    <s v="Customer 35"/>
    <x v="2"/>
    <x v="2"/>
    <n v="5"/>
    <n v="2500"/>
    <x v="1"/>
    <x v="1"/>
    <n v="1500"/>
    <s v="Logitech"/>
    <n v="12500"/>
    <n v="7500"/>
    <n v="5000"/>
    <n v="0.4"/>
  </r>
  <r>
    <s v="O0532"/>
    <x v="282"/>
    <s v="Customer 38"/>
    <x v="0"/>
    <x v="5"/>
    <n v="2"/>
    <n v="9500"/>
    <x v="7"/>
    <x v="1"/>
    <n v="7000"/>
    <s v="Logitech"/>
    <n v="19000"/>
    <n v="14000"/>
    <n v="5000"/>
    <n v="0.26315789473684209"/>
  </r>
  <r>
    <s v="O0533"/>
    <x v="237"/>
    <s v="Customer 28"/>
    <x v="2"/>
    <x v="0"/>
    <n v="5"/>
    <n v="150000"/>
    <x v="9"/>
    <x v="0"/>
    <n v="120000"/>
    <s v="Dell"/>
    <n v="750000"/>
    <n v="600000"/>
    <n v="150000"/>
    <n v="0.2"/>
  </r>
  <r>
    <s v="O0534"/>
    <x v="283"/>
    <s v="Customer 53"/>
    <x v="5"/>
    <x v="0"/>
    <n v="2"/>
    <n v="150000"/>
    <x v="1"/>
    <x v="0"/>
    <n v="120000"/>
    <s v="Dell"/>
    <n v="300000"/>
    <n v="240000"/>
    <n v="60000"/>
    <n v="0.2"/>
  </r>
  <r>
    <s v="O0535"/>
    <x v="51"/>
    <s v="Customer 50"/>
    <x v="6"/>
    <x v="1"/>
    <n v="2"/>
    <n v="45000"/>
    <x v="5"/>
    <x v="0"/>
    <n v="35000"/>
    <s v="HP"/>
    <n v="90000"/>
    <n v="70000"/>
    <n v="20000"/>
    <n v="0.22222222222222221"/>
  </r>
  <r>
    <s v="O0536"/>
    <x v="137"/>
    <s v="Customer 7"/>
    <x v="7"/>
    <x v="0"/>
    <n v="1"/>
    <n v="150000"/>
    <x v="6"/>
    <x v="0"/>
    <n v="120000"/>
    <s v="Dell"/>
    <n v="150000"/>
    <n v="120000"/>
    <n v="30000"/>
    <n v="0.2"/>
  </r>
  <r>
    <s v="O0537"/>
    <x v="82"/>
    <s v="Customer 69"/>
    <x v="6"/>
    <x v="0"/>
    <n v="2"/>
    <n v="150000"/>
    <x v="8"/>
    <x v="0"/>
    <n v="120000"/>
    <s v="Dell"/>
    <n v="300000"/>
    <n v="240000"/>
    <n v="60000"/>
    <n v="0.2"/>
  </r>
  <r>
    <s v="O0538"/>
    <x v="176"/>
    <s v="Customer 1"/>
    <x v="6"/>
    <x v="2"/>
    <n v="4"/>
    <n v="2500"/>
    <x v="7"/>
    <x v="1"/>
    <n v="1500"/>
    <s v="Logitech"/>
    <n v="10000"/>
    <n v="6000"/>
    <n v="4000"/>
    <n v="0.4"/>
  </r>
  <r>
    <s v="O0539"/>
    <x v="189"/>
    <s v="Customer 89"/>
    <x v="1"/>
    <x v="3"/>
    <n v="2"/>
    <n v="2000"/>
    <x v="9"/>
    <x v="2"/>
    <n v="1200"/>
    <s v="SanDisk"/>
    <n v="4000"/>
    <n v="2400"/>
    <n v="1600"/>
    <n v="0.4"/>
  </r>
  <r>
    <s v="O0540"/>
    <x v="284"/>
    <s v="Customer 29"/>
    <x v="6"/>
    <x v="7"/>
    <n v="1"/>
    <n v="5000"/>
    <x v="5"/>
    <x v="1"/>
    <n v="3500"/>
    <s v="Logitech"/>
    <n v="5000"/>
    <n v="3500"/>
    <n v="1500"/>
    <n v="0.3"/>
  </r>
  <r>
    <s v="O0541"/>
    <x v="191"/>
    <s v="Customer 48"/>
    <x v="1"/>
    <x v="6"/>
    <n v="3"/>
    <n v="7000"/>
    <x v="3"/>
    <x v="1"/>
    <n v="5000"/>
    <s v="Sony"/>
    <n v="21000"/>
    <n v="15000"/>
    <n v="6000"/>
    <n v="0.2857142857142857"/>
  </r>
  <r>
    <s v="O0542"/>
    <x v="147"/>
    <s v="Customer 64"/>
    <x v="0"/>
    <x v="9"/>
    <n v="3"/>
    <n v="80000"/>
    <x v="5"/>
    <x v="0"/>
    <n v="65000"/>
    <s v="Samsung"/>
    <n v="240000"/>
    <n v="195000"/>
    <n v="45000"/>
    <n v="0.1875"/>
  </r>
  <r>
    <s v="O0543"/>
    <x v="206"/>
    <s v="Customer 30"/>
    <x v="5"/>
    <x v="9"/>
    <n v="5"/>
    <n v="80000"/>
    <x v="2"/>
    <x v="0"/>
    <n v="65000"/>
    <s v="Samsung"/>
    <n v="400000"/>
    <n v="325000"/>
    <n v="75000"/>
    <n v="0.1875"/>
  </r>
  <r>
    <s v="O0544"/>
    <x v="117"/>
    <s v="Customer 81"/>
    <x v="0"/>
    <x v="6"/>
    <n v="4"/>
    <n v="7000"/>
    <x v="3"/>
    <x v="1"/>
    <n v="5000"/>
    <s v="Sony"/>
    <n v="28000"/>
    <n v="20000"/>
    <n v="8000"/>
    <n v="0.2857142857142857"/>
  </r>
  <r>
    <s v="O0545"/>
    <x v="49"/>
    <s v="Customer 14"/>
    <x v="7"/>
    <x v="6"/>
    <n v="4"/>
    <n v="7000"/>
    <x v="1"/>
    <x v="1"/>
    <n v="5000"/>
    <s v="Sony"/>
    <n v="28000"/>
    <n v="20000"/>
    <n v="8000"/>
    <n v="0.2857142857142857"/>
  </r>
  <r>
    <s v="O0546"/>
    <x v="136"/>
    <s v="Customer 53"/>
    <x v="2"/>
    <x v="4"/>
    <n v="5"/>
    <n v="60000"/>
    <x v="2"/>
    <x v="0"/>
    <n v="50000"/>
    <s v="LG"/>
    <n v="300000"/>
    <n v="250000"/>
    <n v="50000"/>
    <n v="0.16666666666666666"/>
  </r>
  <r>
    <s v="O0547"/>
    <x v="88"/>
    <s v="Customer 83"/>
    <x v="3"/>
    <x v="5"/>
    <n v="1"/>
    <n v="9500"/>
    <x v="5"/>
    <x v="1"/>
    <n v="7000"/>
    <s v="Logitech"/>
    <n v="9500"/>
    <n v="7000"/>
    <n v="2500"/>
    <n v="0.26315789473684209"/>
  </r>
  <r>
    <s v="O0548"/>
    <x v="257"/>
    <s v="Customer 33"/>
    <x v="4"/>
    <x v="3"/>
    <n v="1"/>
    <n v="2000"/>
    <x v="4"/>
    <x v="2"/>
    <n v="1200"/>
    <s v="SanDisk"/>
    <n v="2000"/>
    <n v="1200"/>
    <n v="800"/>
    <n v="0.4"/>
  </r>
  <r>
    <s v="O0549"/>
    <x v="21"/>
    <s v="Customer 77"/>
    <x v="5"/>
    <x v="3"/>
    <n v="4"/>
    <n v="2000"/>
    <x v="3"/>
    <x v="2"/>
    <n v="1200"/>
    <s v="SanDisk"/>
    <n v="8000"/>
    <n v="4800"/>
    <n v="3200"/>
    <n v="0.4"/>
  </r>
  <r>
    <s v="O0550"/>
    <x v="97"/>
    <s v="Customer 44"/>
    <x v="5"/>
    <x v="5"/>
    <n v="3"/>
    <n v="9500"/>
    <x v="7"/>
    <x v="1"/>
    <n v="7000"/>
    <s v="Logitech"/>
    <n v="28500"/>
    <n v="21000"/>
    <n v="7500"/>
    <n v="0.26315789473684209"/>
  </r>
  <r>
    <s v="O0551"/>
    <x v="81"/>
    <s v="Customer 90"/>
    <x v="5"/>
    <x v="7"/>
    <n v="2"/>
    <n v="5000"/>
    <x v="2"/>
    <x v="1"/>
    <n v="3500"/>
    <s v="Logitech"/>
    <n v="10000"/>
    <n v="7000"/>
    <n v="3000"/>
    <n v="0.3"/>
  </r>
  <r>
    <s v="O0552"/>
    <x v="109"/>
    <s v="Customer 45"/>
    <x v="6"/>
    <x v="3"/>
    <n v="1"/>
    <n v="2000"/>
    <x v="7"/>
    <x v="2"/>
    <n v="1200"/>
    <s v="SanDisk"/>
    <n v="2000"/>
    <n v="1200"/>
    <n v="800"/>
    <n v="0.4"/>
  </r>
  <r>
    <s v="O0553"/>
    <x v="93"/>
    <s v="Customer 80"/>
    <x v="2"/>
    <x v="4"/>
    <n v="5"/>
    <n v="60000"/>
    <x v="4"/>
    <x v="0"/>
    <n v="50000"/>
    <s v="LG"/>
    <n v="300000"/>
    <n v="250000"/>
    <n v="50000"/>
    <n v="0.16666666666666666"/>
  </r>
  <r>
    <s v="O0554"/>
    <x v="154"/>
    <s v="Customer 18"/>
    <x v="4"/>
    <x v="1"/>
    <n v="5"/>
    <n v="45000"/>
    <x v="7"/>
    <x v="0"/>
    <n v="35000"/>
    <s v="HP"/>
    <n v="225000"/>
    <n v="175000"/>
    <n v="50000"/>
    <n v="0.22222222222222221"/>
  </r>
  <r>
    <s v="O0555"/>
    <x v="285"/>
    <s v="Customer 20"/>
    <x v="3"/>
    <x v="9"/>
    <n v="4"/>
    <n v="80000"/>
    <x v="4"/>
    <x v="0"/>
    <n v="65000"/>
    <s v="Samsung"/>
    <n v="320000"/>
    <n v="260000"/>
    <n v="60000"/>
    <n v="0.1875"/>
  </r>
  <r>
    <s v="O0556"/>
    <x v="52"/>
    <s v="Customer 98"/>
    <x v="3"/>
    <x v="0"/>
    <n v="4"/>
    <n v="150000"/>
    <x v="5"/>
    <x v="0"/>
    <n v="120000"/>
    <s v="Dell"/>
    <n v="600000"/>
    <n v="480000"/>
    <n v="120000"/>
    <n v="0.2"/>
  </r>
  <r>
    <s v="O0557"/>
    <x v="34"/>
    <s v="Customer 46"/>
    <x v="6"/>
    <x v="7"/>
    <n v="1"/>
    <n v="5000"/>
    <x v="9"/>
    <x v="1"/>
    <n v="3500"/>
    <s v="Logitech"/>
    <n v="5000"/>
    <n v="3500"/>
    <n v="1500"/>
    <n v="0.3"/>
  </r>
  <r>
    <s v="O0558"/>
    <x v="286"/>
    <s v="Customer 98"/>
    <x v="1"/>
    <x v="3"/>
    <n v="1"/>
    <n v="2000"/>
    <x v="9"/>
    <x v="2"/>
    <n v="1200"/>
    <s v="SanDisk"/>
    <n v="2000"/>
    <n v="1200"/>
    <n v="800"/>
    <n v="0.4"/>
  </r>
  <r>
    <s v="O0559"/>
    <x v="84"/>
    <s v="Customer 49"/>
    <x v="5"/>
    <x v="2"/>
    <n v="3"/>
    <n v="2500"/>
    <x v="3"/>
    <x v="1"/>
    <n v="1500"/>
    <s v="Logitech"/>
    <n v="7500"/>
    <n v="4500"/>
    <n v="3000"/>
    <n v="0.4"/>
  </r>
  <r>
    <s v="O0560"/>
    <x v="128"/>
    <s v="Customer 14"/>
    <x v="4"/>
    <x v="8"/>
    <n v="5"/>
    <n v="18000"/>
    <x v="1"/>
    <x v="2"/>
    <n v="12000"/>
    <s v="Kingston"/>
    <n v="90000"/>
    <n v="60000"/>
    <n v="30000"/>
    <n v="0.33333333333333331"/>
  </r>
  <r>
    <s v="O0561"/>
    <x v="116"/>
    <s v="Customer 12"/>
    <x v="2"/>
    <x v="6"/>
    <n v="5"/>
    <n v="7000"/>
    <x v="2"/>
    <x v="1"/>
    <n v="5000"/>
    <s v="Sony"/>
    <n v="35000"/>
    <n v="25000"/>
    <n v="10000"/>
    <n v="0.2857142857142857"/>
  </r>
  <r>
    <s v="O0562"/>
    <x v="15"/>
    <s v="Customer 56"/>
    <x v="1"/>
    <x v="8"/>
    <n v="3"/>
    <n v="18000"/>
    <x v="3"/>
    <x v="2"/>
    <n v="12000"/>
    <s v="Kingston"/>
    <n v="54000"/>
    <n v="36000"/>
    <n v="18000"/>
    <n v="0.33333333333333331"/>
  </r>
  <r>
    <s v="O0563"/>
    <x v="243"/>
    <s v="Customer 9"/>
    <x v="6"/>
    <x v="7"/>
    <n v="1"/>
    <n v="5000"/>
    <x v="4"/>
    <x v="1"/>
    <n v="3500"/>
    <s v="Logitech"/>
    <n v="5000"/>
    <n v="3500"/>
    <n v="1500"/>
    <n v="0.3"/>
  </r>
  <r>
    <s v="O0564"/>
    <x v="84"/>
    <s v="Customer 20"/>
    <x v="3"/>
    <x v="1"/>
    <n v="3"/>
    <n v="45000"/>
    <x v="2"/>
    <x v="0"/>
    <n v="35000"/>
    <s v="HP"/>
    <n v="135000"/>
    <n v="105000"/>
    <n v="30000"/>
    <n v="0.22222222222222221"/>
  </r>
  <r>
    <s v="O0565"/>
    <x v="225"/>
    <s v="Customer 55"/>
    <x v="6"/>
    <x v="6"/>
    <n v="3"/>
    <n v="7000"/>
    <x v="9"/>
    <x v="1"/>
    <n v="5000"/>
    <s v="Sony"/>
    <n v="21000"/>
    <n v="15000"/>
    <n v="6000"/>
    <n v="0.2857142857142857"/>
  </r>
  <r>
    <s v="O0566"/>
    <x v="210"/>
    <s v="Customer 12"/>
    <x v="1"/>
    <x v="2"/>
    <n v="1"/>
    <n v="2500"/>
    <x v="4"/>
    <x v="1"/>
    <n v="1500"/>
    <s v="Logitech"/>
    <n v="2500"/>
    <n v="1500"/>
    <n v="1000"/>
    <n v="0.4"/>
  </r>
  <r>
    <s v="O0567"/>
    <x v="44"/>
    <s v="Customer 90"/>
    <x v="4"/>
    <x v="6"/>
    <n v="4"/>
    <n v="7000"/>
    <x v="2"/>
    <x v="1"/>
    <n v="5000"/>
    <s v="Sony"/>
    <n v="28000"/>
    <n v="20000"/>
    <n v="8000"/>
    <n v="0.2857142857142857"/>
  </r>
  <r>
    <s v="O0568"/>
    <x v="148"/>
    <s v="Customer 76"/>
    <x v="5"/>
    <x v="4"/>
    <n v="2"/>
    <n v="60000"/>
    <x v="0"/>
    <x v="0"/>
    <n v="50000"/>
    <s v="LG"/>
    <n v="120000"/>
    <n v="100000"/>
    <n v="20000"/>
    <n v="0.16666666666666666"/>
  </r>
  <r>
    <s v="O0569"/>
    <x v="229"/>
    <s v="Customer 95"/>
    <x v="0"/>
    <x v="7"/>
    <n v="5"/>
    <n v="5000"/>
    <x v="4"/>
    <x v="1"/>
    <n v="3500"/>
    <s v="Logitech"/>
    <n v="25000"/>
    <n v="17500"/>
    <n v="7500"/>
    <n v="0.3"/>
  </r>
  <r>
    <s v="O0570"/>
    <x v="45"/>
    <s v="Customer 15"/>
    <x v="6"/>
    <x v="9"/>
    <n v="1"/>
    <n v="80000"/>
    <x v="2"/>
    <x v="0"/>
    <n v="65000"/>
    <s v="Samsung"/>
    <n v="80000"/>
    <n v="65000"/>
    <n v="15000"/>
    <n v="0.1875"/>
  </r>
  <r>
    <s v="O0571"/>
    <x v="287"/>
    <s v="Customer 97"/>
    <x v="0"/>
    <x v="4"/>
    <n v="4"/>
    <n v="60000"/>
    <x v="5"/>
    <x v="0"/>
    <n v="50000"/>
    <s v="LG"/>
    <n v="240000"/>
    <n v="200000"/>
    <n v="40000"/>
    <n v="0.16666666666666666"/>
  </r>
  <r>
    <s v="O0572"/>
    <x v="255"/>
    <s v="Customer 66"/>
    <x v="5"/>
    <x v="7"/>
    <n v="2"/>
    <n v="5000"/>
    <x v="7"/>
    <x v="1"/>
    <n v="3500"/>
    <s v="Logitech"/>
    <n v="10000"/>
    <n v="7000"/>
    <n v="3000"/>
    <n v="0.3"/>
  </r>
  <r>
    <s v="O0573"/>
    <x v="267"/>
    <s v="Customer 49"/>
    <x v="7"/>
    <x v="5"/>
    <n v="3"/>
    <n v="9500"/>
    <x v="5"/>
    <x v="1"/>
    <n v="7000"/>
    <s v="Logitech"/>
    <n v="28500"/>
    <n v="21000"/>
    <n v="7500"/>
    <n v="0.26315789473684209"/>
  </r>
  <r>
    <s v="O0574"/>
    <x v="59"/>
    <s v="Customer 72"/>
    <x v="0"/>
    <x v="7"/>
    <n v="4"/>
    <n v="5000"/>
    <x v="2"/>
    <x v="1"/>
    <n v="3500"/>
    <s v="Logitech"/>
    <n v="20000"/>
    <n v="14000"/>
    <n v="6000"/>
    <n v="0.3"/>
  </r>
  <r>
    <s v="O0575"/>
    <x v="165"/>
    <s v="Customer 11"/>
    <x v="7"/>
    <x v="8"/>
    <n v="5"/>
    <n v="18000"/>
    <x v="0"/>
    <x v="2"/>
    <n v="12000"/>
    <s v="Kingston"/>
    <n v="90000"/>
    <n v="60000"/>
    <n v="30000"/>
    <n v="0.33333333333333331"/>
  </r>
  <r>
    <s v="O0576"/>
    <x v="14"/>
    <s v="Customer 82"/>
    <x v="7"/>
    <x v="4"/>
    <n v="2"/>
    <n v="60000"/>
    <x v="4"/>
    <x v="0"/>
    <n v="50000"/>
    <s v="LG"/>
    <n v="120000"/>
    <n v="100000"/>
    <n v="20000"/>
    <n v="0.16666666666666666"/>
  </r>
  <r>
    <s v="O0577"/>
    <x v="15"/>
    <s v="Customer 5"/>
    <x v="0"/>
    <x v="5"/>
    <n v="5"/>
    <n v="9500"/>
    <x v="8"/>
    <x v="1"/>
    <n v="7000"/>
    <s v="Logitech"/>
    <n v="47500"/>
    <n v="35000"/>
    <n v="12500"/>
    <n v="0.26315789473684209"/>
  </r>
  <r>
    <s v="O0578"/>
    <x v="41"/>
    <s v="Customer 22"/>
    <x v="3"/>
    <x v="8"/>
    <n v="2"/>
    <n v="18000"/>
    <x v="5"/>
    <x v="2"/>
    <n v="12000"/>
    <s v="Kingston"/>
    <n v="36000"/>
    <n v="24000"/>
    <n v="12000"/>
    <n v="0.33333333333333331"/>
  </r>
  <r>
    <s v="O0579"/>
    <x v="262"/>
    <s v="Customer 7"/>
    <x v="7"/>
    <x v="5"/>
    <n v="4"/>
    <n v="9500"/>
    <x v="5"/>
    <x v="1"/>
    <n v="7000"/>
    <s v="Logitech"/>
    <n v="38000"/>
    <n v="28000"/>
    <n v="10000"/>
    <n v="0.26315789473684209"/>
  </r>
  <r>
    <s v="O0580"/>
    <x v="288"/>
    <s v="Customer 95"/>
    <x v="7"/>
    <x v="0"/>
    <n v="2"/>
    <n v="150000"/>
    <x v="8"/>
    <x v="0"/>
    <n v="120000"/>
    <s v="Dell"/>
    <n v="300000"/>
    <n v="240000"/>
    <n v="60000"/>
    <n v="0.2"/>
  </r>
  <r>
    <s v="O0581"/>
    <x v="149"/>
    <s v="Customer 74"/>
    <x v="2"/>
    <x v="9"/>
    <n v="4"/>
    <n v="80000"/>
    <x v="9"/>
    <x v="0"/>
    <n v="65000"/>
    <s v="Samsung"/>
    <n v="320000"/>
    <n v="260000"/>
    <n v="60000"/>
    <n v="0.1875"/>
  </r>
  <r>
    <s v="O0582"/>
    <x v="275"/>
    <s v="Customer 72"/>
    <x v="7"/>
    <x v="3"/>
    <n v="3"/>
    <n v="2000"/>
    <x v="4"/>
    <x v="2"/>
    <n v="1200"/>
    <s v="SanDisk"/>
    <n v="6000"/>
    <n v="3600"/>
    <n v="2400"/>
    <n v="0.4"/>
  </r>
  <r>
    <s v="O0583"/>
    <x v="120"/>
    <s v="Customer 44"/>
    <x v="3"/>
    <x v="5"/>
    <n v="1"/>
    <n v="9500"/>
    <x v="5"/>
    <x v="1"/>
    <n v="7000"/>
    <s v="Logitech"/>
    <n v="9500"/>
    <n v="7000"/>
    <n v="2500"/>
    <n v="0.26315789473684209"/>
  </r>
  <r>
    <s v="O0584"/>
    <x v="161"/>
    <s v="Customer 42"/>
    <x v="7"/>
    <x v="9"/>
    <n v="3"/>
    <n v="80000"/>
    <x v="7"/>
    <x v="0"/>
    <n v="65000"/>
    <s v="Samsung"/>
    <n v="240000"/>
    <n v="195000"/>
    <n v="45000"/>
    <n v="0.1875"/>
  </r>
  <r>
    <s v="O0585"/>
    <x v="132"/>
    <s v="Customer 35"/>
    <x v="2"/>
    <x v="7"/>
    <n v="4"/>
    <n v="5000"/>
    <x v="6"/>
    <x v="1"/>
    <n v="3500"/>
    <s v="Logitech"/>
    <n v="20000"/>
    <n v="14000"/>
    <n v="6000"/>
    <n v="0.3"/>
  </r>
  <r>
    <s v="O0586"/>
    <x v="289"/>
    <s v="Customer 94"/>
    <x v="7"/>
    <x v="8"/>
    <n v="5"/>
    <n v="18000"/>
    <x v="3"/>
    <x v="2"/>
    <n v="12000"/>
    <s v="Kingston"/>
    <n v="90000"/>
    <n v="60000"/>
    <n v="30000"/>
    <n v="0.33333333333333331"/>
  </r>
  <r>
    <s v="O0587"/>
    <x v="186"/>
    <s v="Customer 39"/>
    <x v="1"/>
    <x v="6"/>
    <n v="4"/>
    <n v="7000"/>
    <x v="6"/>
    <x v="1"/>
    <n v="5000"/>
    <s v="Sony"/>
    <n v="28000"/>
    <n v="20000"/>
    <n v="8000"/>
    <n v="0.2857142857142857"/>
  </r>
  <r>
    <s v="O0588"/>
    <x v="224"/>
    <s v="Customer 71"/>
    <x v="1"/>
    <x v="4"/>
    <n v="3"/>
    <n v="60000"/>
    <x v="3"/>
    <x v="0"/>
    <n v="50000"/>
    <s v="LG"/>
    <n v="180000"/>
    <n v="150000"/>
    <n v="30000"/>
    <n v="0.16666666666666666"/>
  </r>
  <r>
    <s v="O0589"/>
    <x v="184"/>
    <s v="Customer 51"/>
    <x v="3"/>
    <x v="2"/>
    <n v="3"/>
    <n v="2500"/>
    <x v="4"/>
    <x v="1"/>
    <n v="1500"/>
    <s v="Logitech"/>
    <n v="7500"/>
    <n v="4500"/>
    <n v="3000"/>
    <n v="0.4"/>
  </r>
  <r>
    <s v="O0590"/>
    <x v="221"/>
    <s v="Customer 43"/>
    <x v="6"/>
    <x v="7"/>
    <n v="4"/>
    <n v="5000"/>
    <x v="5"/>
    <x v="1"/>
    <n v="3500"/>
    <s v="Logitech"/>
    <n v="20000"/>
    <n v="14000"/>
    <n v="6000"/>
    <n v="0.3"/>
  </r>
  <r>
    <s v="O0591"/>
    <x v="290"/>
    <s v="Customer 2"/>
    <x v="0"/>
    <x v="3"/>
    <n v="3"/>
    <n v="2000"/>
    <x v="1"/>
    <x v="2"/>
    <n v="1200"/>
    <s v="SanDisk"/>
    <n v="6000"/>
    <n v="3600"/>
    <n v="2400"/>
    <n v="0.4"/>
  </r>
  <r>
    <s v="O0592"/>
    <x v="104"/>
    <s v="Customer 81"/>
    <x v="5"/>
    <x v="7"/>
    <n v="2"/>
    <n v="5000"/>
    <x v="7"/>
    <x v="1"/>
    <n v="3500"/>
    <s v="Logitech"/>
    <n v="10000"/>
    <n v="7000"/>
    <n v="3000"/>
    <n v="0.3"/>
  </r>
  <r>
    <s v="O0593"/>
    <x v="120"/>
    <s v="Customer 34"/>
    <x v="1"/>
    <x v="7"/>
    <n v="5"/>
    <n v="5000"/>
    <x v="3"/>
    <x v="1"/>
    <n v="3500"/>
    <s v="Logitech"/>
    <n v="25000"/>
    <n v="17500"/>
    <n v="7500"/>
    <n v="0.3"/>
  </r>
  <r>
    <s v="O0594"/>
    <x v="197"/>
    <s v="Customer 99"/>
    <x v="7"/>
    <x v="2"/>
    <n v="5"/>
    <n v="2500"/>
    <x v="4"/>
    <x v="1"/>
    <n v="1500"/>
    <s v="Logitech"/>
    <n v="12500"/>
    <n v="7500"/>
    <n v="5000"/>
    <n v="0.4"/>
  </r>
  <r>
    <s v="O0595"/>
    <x v="195"/>
    <s v="Customer 51"/>
    <x v="3"/>
    <x v="0"/>
    <n v="3"/>
    <n v="150000"/>
    <x v="2"/>
    <x v="0"/>
    <n v="120000"/>
    <s v="Dell"/>
    <n v="450000"/>
    <n v="360000"/>
    <n v="90000"/>
    <n v="0.2"/>
  </r>
  <r>
    <s v="O0596"/>
    <x v="240"/>
    <s v="Customer 93"/>
    <x v="2"/>
    <x v="6"/>
    <n v="3"/>
    <n v="7000"/>
    <x v="9"/>
    <x v="1"/>
    <n v="5000"/>
    <s v="Sony"/>
    <n v="21000"/>
    <n v="15000"/>
    <n v="6000"/>
    <n v="0.2857142857142857"/>
  </r>
  <r>
    <s v="O0597"/>
    <x v="219"/>
    <s v="Customer 12"/>
    <x v="1"/>
    <x v="1"/>
    <n v="5"/>
    <n v="45000"/>
    <x v="2"/>
    <x v="0"/>
    <n v="35000"/>
    <s v="HP"/>
    <n v="225000"/>
    <n v="175000"/>
    <n v="50000"/>
    <n v="0.22222222222222221"/>
  </r>
  <r>
    <s v="O0598"/>
    <x v="66"/>
    <s v="Customer 22"/>
    <x v="5"/>
    <x v="2"/>
    <n v="5"/>
    <n v="2500"/>
    <x v="7"/>
    <x v="1"/>
    <n v="1500"/>
    <s v="Logitech"/>
    <n v="12500"/>
    <n v="7500"/>
    <n v="5000"/>
    <n v="0.4"/>
  </r>
  <r>
    <s v="O0599"/>
    <x v="57"/>
    <s v="Customer 19"/>
    <x v="5"/>
    <x v="2"/>
    <n v="2"/>
    <n v="2500"/>
    <x v="6"/>
    <x v="1"/>
    <n v="1500"/>
    <s v="Logitech"/>
    <n v="5000"/>
    <n v="3000"/>
    <n v="2000"/>
    <n v="0.4"/>
  </r>
  <r>
    <s v="O0600"/>
    <x v="254"/>
    <s v="Customer 72"/>
    <x v="5"/>
    <x v="8"/>
    <n v="3"/>
    <n v="18000"/>
    <x v="4"/>
    <x v="2"/>
    <n v="12000"/>
    <s v="Kingston"/>
    <n v="54000"/>
    <n v="36000"/>
    <n v="18000"/>
    <n v="0.33333333333333331"/>
  </r>
  <r>
    <s v="O0601"/>
    <x v="4"/>
    <s v="Customer 84"/>
    <x v="1"/>
    <x v="6"/>
    <n v="5"/>
    <n v="7000"/>
    <x v="6"/>
    <x v="1"/>
    <n v="5000"/>
    <s v="Sony"/>
    <n v="35000"/>
    <n v="25000"/>
    <n v="10000"/>
    <n v="0.2857142857142857"/>
  </r>
  <r>
    <s v="O0602"/>
    <x v="59"/>
    <s v="Customer 45"/>
    <x v="7"/>
    <x v="4"/>
    <n v="2"/>
    <n v="60000"/>
    <x v="4"/>
    <x v="0"/>
    <n v="50000"/>
    <s v="LG"/>
    <n v="120000"/>
    <n v="100000"/>
    <n v="20000"/>
    <n v="0.16666666666666666"/>
  </r>
  <r>
    <s v="O0603"/>
    <x v="44"/>
    <s v="Customer 67"/>
    <x v="7"/>
    <x v="9"/>
    <n v="4"/>
    <n v="80000"/>
    <x v="8"/>
    <x v="0"/>
    <n v="65000"/>
    <s v="Samsung"/>
    <n v="320000"/>
    <n v="260000"/>
    <n v="60000"/>
    <n v="0.1875"/>
  </r>
  <r>
    <s v="O0604"/>
    <x v="12"/>
    <s v="Customer 49"/>
    <x v="3"/>
    <x v="2"/>
    <n v="4"/>
    <n v="2500"/>
    <x v="1"/>
    <x v="1"/>
    <n v="1500"/>
    <s v="Logitech"/>
    <n v="10000"/>
    <n v="6000"/>
    <n v="4000"/>
    <n v="0.4"/>
  </r>
  <r>
    <s v="O0605"/>
    <x v="164"/>
    <s v="Customer 35"/>
    <x v="1"/>
    <x v="1"/>
    <n v="1"/>
    <n v="45000"/>
    <x v="3"/>
    <x v="0"/>
    <n v="35000"/>
    <s v="HP"/>
    <n v="45000"/>
    <n v="35000"/>
    <n v="10000"/>
    <n v="0.22222222222222221"/>
  </r>
  <r>
    <s v="O0606"/>
    <x v="194"/>
    <s v="Customer 75"/>
    <x v="7"/>
    <x v="9"/>
    <n v="2"/>
    <n v="80000"/>
    <x v="7"/>
    <x v="0"/>
    <n v="65000"/>
    <s v="Samsung"/>
    <n v="160000"/>
    <n v="130000"/>
    <n v="30000"/>
    <n v="0.1875"/>
  </r>
  <r>
    <s v="O0607"/>
    <x v="291"/>
    <s v="Customer 79"/>
    <x v="5"/>
    <x v="1"/>
    <n v="5"/>
    <n v="45000"/>
    <x v="5"/>
    <x v="0"/>
    <n v="35000"/>
    <s v="HP"/>
    <n v="225000"/>
    <n v="175000"/>
    <n v="50000"/>
    <n v="0.22222222222222221"/>
  </r>
  <r>
    <s v="O0608"/>
    <x v="206"/>
    <s v="Customer 92"/>
    <x v="5"/>
    <x v="6"/>
    <n v="1"/>
    <n v="7000"/>
    <x v="4"/>
    <x v="1"/>
    <n v="5000"/>
    <s v="Sony"/>
    <n v="7000"/>
    <n v="5000"/>
    <n v="2000"/>
    <n v="0.2857142857142857"/>
  </r>
  <r>
    <s v="O0609"/>
    <x v="104"/>
    <s v="Customer 66"/>
    <x v="6"/>
    <x v="7"/>
    <n v="4"/>
    <n v="5000"/>
    <x v="2"/>
    <x v="1"/>
    <n v="3500"/>
    <s v="Logitech"/>
    <n v="20000"/>
    <n v="14000"/>
    <n v="6000"/>
    <n v="0.3"/>
  </r>
  <r>
    <s v="O0610"/>
    <x v="292"/>
    <s v="Customer 26"/>
    <x v="6"/>
    <x v="1"/>
    <n v="4"/>
    <n v="45000"/>
    <x v="6"/>
    <x v="0"/>
    <n v="35000"/>
    <s v="HP"/>
    <n v="180000"/>
    <n v="140000"/>
    <n v="40000"/>
    <n v="0.22222222222222221"/>
  </r>
  <r>
    <s v="O0611"/>
    <x v="7"/>
    <s v="Customer 58"/>
    <x v="2"/>
    <x v="1"/>
    <n v="4"/>
    <n v="45000"/>
    <x v="3"/>
    <x v="0"/>
    <n v="35000"/>
    <s v="HP"/>
    <n v="180000"/>
    <n v="140000"/>
    <n v="40000"/>
    <n v="0.22222222222222221"/>
  </r>
  <r>
    <s v="O0612"/>
    <x v="120"/>
    <s v="Customer 79"/>
    <x v="1"/>
    <x v="8"/>
    <n v="5"/>
    <n v="18000"/>
    <x v="2"/>
    <x v="2"/>
    <n v="12000"/>
    <s v="Kingston"/>
    <n v="90000"/>
    <n v="60000"/>
    <n v="30000"/>
    <n v="0.33333333333333331"/>
  </r>
  <r>
    <s v="O0613"/>
    <x v="260"/>
    <s v="Customer 94"/>
    <x v="1"/>
    <x v="1"/>
    <n v="2"/>
    <n v="45000"/>
    <x v="3"/>
    <x v="0"/>
    <n v="35000"/>
    <s v="HP"/>
    <n v="90000"/>
    <n v="70000"/>
    <n v="20000"/>
    <n v="0.22222222222222221"/>
  </r>
  <r>
    <s v="O0614"/>
    <x v="293"/>
    <s v="Customer 23"/>
    <x v="2"/>
    <x v="5"/>
    <n v="4"/>
    <n v="9500"/>
    <x v="8"/>
    <x v="1"/>
    <n v="7000"/>
    <s v="Logitech"/>
    <n v="38000"/>
    <n v="28000"/>
    <n v="10000"/>
    <n v="0.26315789473684209"/>
  </r>
  <r>
    <s v="O0615"/>
    <x v="88"/>
    <s v="Customer 40"/>
    <x v="2"/>
    <x v="2"/>
    <n v="4"/>
    <n v="2500"/>
    <x v="9"/>
    <x v="1"/>
    <n v="1500"/>
    <s v="Logitech"/>
    <n v="10000"/>
    <n v="6000"/>
    <n v="4000"/>
    <n v="0.4"/>
  </r>
  <r>
    <s v="O0616"/>
    <x v="49"/>
    <s v="Customer 29"/>
    <x v="7"/>
    <x v="4"/>
    <n v="2"/>
    <n v="60000"/>
    <x v="9"/>
    <x v="0"/>
    <n v="50000"/>
    <s v="LG"/>
    <n v="120000"/>
    <n v="100000"/>
    <n v="20000"/>
    <n v="0.16666666666666666"/>
  </r>
  <r>
    <s v="O0617"/>
    <x v="242"/>
    <s v="Customer 36"/>
    <x v="4"/>
    <x v="1"/>
    <n v="2"/>
    <n v="45000"/>
    <x v="8"/>
    <x v="0"/>
    <n v="35000"/>
    <s v="HP"/>
    <n v="90000"/>
    <n v="70000"/>
    <n v="20000"/>
    <n v="0.22222222222222221"/>
  </r>
  <r>
    <s v="O0618"/>
    <x v="267"/>
    <s v="Customer 48"/>
    <x v="5"/>
    <x v="1"/>
    <n v="3"/>
    <n v="45000"/>
    <x v="6"/>
    <x v="0"/>
    <n v="35000"/>
    <s v="HP"/>
    <n v="135000"/>
    <n v="105000"/>
    <n v="30000"/>
    <n v="0.22222222222222221"/>
  </r>
  <r>
    <s v="O0619"/>
    <x v="294"/>
    <s v="Customer 46"/>
    <x v="1"/>
    <x v="6"/>
    <n v="2"/>
    <n v="7000"/>
    <x v="2"/>
    <x v="1"/>
    <n v="5000"/>
    <s v="Sony"/>
    <n v="14000"/>
    <n v="10000"/>
    <n v="4000"/>
    <n v="0.2857142857142857"/>
  </r>
  <r>
    <s v="O0620"/>
    <x v="233"/>
    <s v="Customer 75"/>
    <x v="3"/>
    <x v="5"/>
    <n v="4"/>
    <n v="9500"/>
    <x v="7"/>
    <x v="1"/>
    <n v="7000"/>
    <s v="Logitech"/>
    <n v="38000"/>
    <n v="28000"/>
    <n v="10000"/>
    <n v="0.26315789473684209"/>
  </r>
  <r>
    <s v="O0621"/>
    <x v="295"/>
    <s v="Customer 6"/>
    <x v="3"/>
    <x v="3"/>
    <n v="2"/>
    <n v="2000"/>
    <x v="8"/>
    <x v="2"/>
    <n v="1200"/>
    <s v="SanDisk"/>
    <n v="4000"/>
    <n v="2400"/>
    <n v="1600"/>
    <n v="0.4"/>
  </r>
  <r>
    <s v="O0622"/>
    <x v="109"/>
    <s v="Customer 96"/>
    <x v="0"/>
    <x v="7"/>
    <n v="5"/>
    <n v="5000"/>
    <x v="0"/>
    <x v="1"/>
    <n v="3500"/>
    <s v="Logitech"/>
    <n v="25000"/>
    <n v="17500"/>
    <n v="7500"/>
    <n v="0.3"/>
  </r>
  <r>
    <s v="O0623"/>
    <x v="271"/>
    <s v="Customer 83"/>
    <x v="5"/>
    <x v="4"/>
    <n v="4"/>
    <n v="60000"/>
    <x v="1"/>
    <x v="0"/>
    <n v="50000"/>
    <s v="LG"/>
    <n v="240000"/>
    <n v="200000"/>
    <n v="40000"/>
    <n v="0.16666666666666666"/>
  </r>
  <r>
    <s v="O0624"/>
    <x v="259"/>
    <s v="Customer 72"/>
    <x v="1"/>
    <x v="6"/>
    <n v="1"/>
    <n v="7000"/>
    <x v="0"/>
    <x v="1"/>
    <n v="5000"/>
    <s v="Sony"/>
    <n v="7000"/>
    <n v="5000"/>
    <n v="2000"/>
    <n v="0.2857142857142857"/>
  </r>
  <r>
    <s v="O0625"/>
    <x v="296"/>
    <s v="Customer 43"/>
    <x v="4"/>
    <x v="3"/>
    <n v="4"/>
    <n v="2000"/>
    <x v="3"/>
    <x v="2"/>
    <n v="1200"/>
    <s v="SanDisk"/>
    <n v="8000"/>
    <n v="4800"/>
    <n v="3200"/>
    <n v="0.4"/>
  </r>
  <r>
    <s v="O0626"/>
    <x v="191"/>
    <s v="Customer 63"/>
    <x v="6"/>
    <x v="4"/>
    <n v="5"/>
    <n v="60000"/>
    <x v="4"/>
    <x v="0"/>
    <n v="50000"/>
    <s v="LG"/>
    <n v="300000"/>
    <n v="250000"/>
    <n v="50000"/>
    <n v="0.16666666666666666"/>
  </r>
  <r>
    <s v="O0627"/>
    <x v="154"/>
    <s v="Customer 78"/>
    <x v="6"/>
    <x v="1"/>
    <n v="1"/>
    <n v="45000"/>
    <x v="0"/>
    <x v="0"/>
    <n v="35000"/>
    <s v="HP"/>
    <n v="45000"/>
    <n v="35000"/>
    <n v="10000"/>
    <n v="0.22222222222222221"/>
  </r>
  <r>
    <s v="O0628"/>
    <x v="297"/>
    <s v="Customer 99"/>
    <x v="4"/>
    <x v="6"/>
    <n v="3"/>
    <n v="7000"/>
    <x v="6"/>
    <x v="1"/>
    <n v="5000"/>
    <s v="Sony"/>
    <n v="21000"/>
    <n v="15000"/>
    <n v="6000"/>
    <n v="0.2857142857142857"/>
  </r>
  <r>
    <s v="O0629"/>
    <x v="234"/>
    <s v="Customer 7"/>
    <x v="0"/>
    <x v="9"/>
    <n v="5"/>
    <n v="80000"/>
    <x v="2"/>
    <x v="0"/>
    <n v="65000"/>
    <s v="Samsung"/>
    <n v="400000"/>
    <n v="325000"/>
    <n v="75000"/>
    <n v="0.1875"/>
  </r>
  <r>
    <s v="O0630"/>
    <x v="298"/>
    <s v="Customer 97"/>
    <x v="3"/>
    <x v="8"/>
    <n v="4"/>
    <n v="18000"/>
    <x v="2"/>
    <x v="2"/>
    <n v="12000"/>
    <s v="Kingston"/>
    <n v="72000"/>
    <n v="48000"/>
    <n v="24000"/>
    <n v="0.33333333333333331"/>
  </r>
  <r>
    <s v="O0631"/>
    <x v="53"/>
    <s v="Customer 85"/>
    <x v="3"/>
    <x v="3"/>
    <n v="3"/>
    <n v="2000"/>
    <x v="5"/>
    <x v="2"/>
    <n v="1200"/>
    <s v="SanDisk"/>
    <n v="6000"/>
    <n v="3600"/>
    <n v="2400"/>
    <n v="0.4"/>
  </r>
  <r>
    <s v="O0632"/>
    <x v="299"/>
    <s v="Customer 27"/>
    <x v="4"/>
    <x v="7"/>
    <n v="5"/>
    <n v="5000"/>
    <x v="2"/>
    <x v="1"/>
    <n v="3500"/>
    <s v="Logitech"/>
    <n v="25000"/>
    <n v="17500"/>
    <n v="7500"/>
    <n v="0.3"/>
  </r>
  <r>
    <s v="O0633"/>
    <x v="288"/>
    <s v="Customer 98"/>
    <x v="0"/>
    <x v="8"/>
    <n v="4"/>
    <n v="18000"/>
    <x v="6"/>
    <x v="2"/>
    <n v="12000"/>
    <s v="Kingston"/>
    <n v="72000"/>
    <n v="48000"/>
    <n v="24000"/>
    <n v="0.33333333333333331"/>
  </r>
  <r>
    <s v="O0634"/>
    <x v="54"/>
    <s v="Customer 42"/>
    <x v="4"/>
    <x v="0"/>
    <n v="2"/>
    <n v="150000"/>
    <x v="5"/>
    <x v="0"/>
    <n v="120000"/>
    <s v="Dell"/>
    <n v="300000"/>
    <n v="240000"/>
    <n v="60000"/>
    <n v="0.2"/>
  </r>
  <r>
    <s v="O0635"/>
    <x v="106"/>
    <s v="Customer 46"/>
    <x v="6"/>
    <x v="6"/>
    <n v="3"/>
    <n v="7000"/>
    <x v="0"/>
    <x v="1"/>
    <n v="5000"/>
    <s v="Sony"/>
    <n v="21000"/>
    <n v="15000"/>
    <n v="6000"/>
    <n v="0.2857142857142857"/>
  </r>
  <r>
    <s v="O0636"/>
    <x v="6"/>
    <s v="Customer 26"/>
    <x v="5"/>
    <x v="9"/>
    <n v="5"/>
    <n v="80000"/>
    <x v="3"/>
    <x v="0"/>
    <n v="65000"/>
    <s v="Samsung"/>
    <n v="400000"/>
    <n v="325000"/>
    <n v="75000"/>
    <n v="0.1875"/>
  </r>
  <r>
    <s v="O0637"/>
    <x v="21"/>
    <s v="Customer 42"/>
    <x v="3"/>
    <x v="1"/>
    <n v="5"/>
    <n v="45000"/>
    <x v="9"/>
    <x v="0"/>
    <n v="35000"/>
    <s v="HP"/>
    <n v="225000"/>
    <n v="175000"/>
    <n v="50000"/>
    <n v="0.22222222222222221"/>
  </r>
  <r>
    <s v="O0638"/>
    <x v="87"/>
    <s v="Customer 24"/>
    <x v="0"/>
    <x v="7"/>
    <n v="2"/>
    <n v="5000"/>
    <x v="0"/>
    <x v="1"/>
    <n v="3500"/>
    <s v="Logitech"/>
    <n v="10000"/>
    <n v="7000"/>
    <n v="3000"/>
    <n v="0.3"/>
  </r>
  <r>
    <s v="O0639"/>
    <x v="114"/>
    <s v="Customer 66"/>
    <x v="4"/>
    <x v="2"/>
    <n v="5"/>
    <n v="2500"/>
    <x v="1"/>
    <x v="1"/>
    <n v="1500"/>
    <s v="Logitech"/>
    <n v="12500"/>
    <n v="7500"/>
    <n v="5000"/>
    <n v="0.4"/>
  </r>
  <r>
    <s v="O0640"/>
    <x v="119"/>
    <s v="Customer 5"/>
    <x v="7"/>
    <x v="9"/>
    <n v="4"/>
    <n v="80000"/>
    <x v="8"/>
    <x v="0"/>
    <n v="65000"/>
    <s v="Samsung"/>
    <n v="320000"/>
    <n v="260000"/>
    <n v="60000"/>
    <n v="0.1875"/>
  </r>
  <r>
    <s v="O0641"/>
    <x v="43"/>
    <s v="Customer 30"/>
    <x v="0"/>
    <x v="7"/>
    <n v="4"/>
    <n v="5000"/>
    <x v="3"/>
    <x v="1"/>
    <n v="3500"/>
    <s v="Logitech"/>
    <n v="20000"/>
    <n v="14000"/>
    <n v="6000"/>
    <n v="0.3"/>
  </r>
  <r>
    <s v="O0642"/>
    <x v="286"/>
    <s v="Customer 91"/>
    <x v="5"/>
    <x v="1"/>
    <n v="5"/>
    <n v="45000"/>
    <x v="7"/>
    <x v="0"/>
    <n v="35000"/>
    <s v="HP"/>
    <n v="225000"/>
    <n v="175000"/>
    <n v="50000"/>
    <n v="0.22222222222222221"/>
  </r>
  <r>
    <s v="O0643"/>
    <x v="300"/>
    <s v="Customer 98"/>
    <x v="3"/>
    <x v="9"/>
    <n v="4"/>
    <n v="80000"/>
    <x v="7"/>
    <x v="0"/>
    <n v="65000"/>
    <s v="Samsung"/>
    <n v="320000"/>
    <n v="260000"/>
    <n v="60000"/>
    <n v="0.1875"/>
  </r>
  <r>
    <s v="O0644"/>
    <x v="176"/>
    <s v="Customer 77"/>
    <x v="7"/>
    <x v="6"/>
    <n v="5"/>
    <n v="7000"/>
    <x v="7"/>
    <x v="1"/>
    <n v="5000"/>
    <s v="Sony"/>
    <n v="35000"/>
    <n v="25000"/>
    <n v="10000"/>
    <n v="0.2857142857142857"/>
  </r>
  <r>
    <s v="O0645"/>
    <x v="268"/>
    <s v="Customer 7"/>
    <x v="4"/>
    <x v="9"/>
    <n v="5"/>
    <n v="80000"/>
    <x v="8"/>
    <x v="0"/>
    <n v="65000"/>
    <s v="Samsung"/>
    <n v="400000"/>
    <n v="325000"/>
    <n v="75000"/>
    <n v="0.1875"/>
  </r>
  <r>
    <s v="O0646"/>
    <x v="28"/>
    <s v="Customer 94"/>
    <x v="7"/>
    <x v="0"/>
    <n v="4"/>
    <n v="150000"/>
    <x v="2"/>
    <x v="0"/>
    <n v="120000"/>
    <s v="Dell"/>
    <n v="600000"/>
    <n v="480000"/>
    <n v="120000"/>
    <n v="0.2"/>
  </r>
  <r>
    <s v="O0647"/>
    <x v="301"/>
    <s v="Customer 32"/>
    <x v="5"/>
    <x v="7"/>
    <n v="2"/>
    <n v="5000"/>
    <x v="0"/>
    <x v="1"/>
    <n v="3500"/>
    <s v="Logitech"/>
    <n v="10000"/>
    <n v="7000"/>
    <n v="3000"/>
    <n v="0.3"/>
  </r>
  <r>
    <s v="O0648"/>
    <x v="302"/>
    <s v="Customer 65"/>
    <x v="2"/>
    <x v="8"/>
    <n v="2"/>
    <n v="18000"/>
    <x v="4"/>
    <x v="2"/>
    <n v="12000"/>
    <s v="Kingston"/>
    <n v="36000"/>
    <n v="24000"/>
    <n v="12000"/>
    <n v="0.33333333333333331"/>
  </r>
  <r>
    <s v="O0649"/>
    <x v="54"/>
    <s v="Customer 3"/>
    <x v="7"/>
    <x v="2"/>
    <n v="1"/>
    <n v="2500"/>
    <x v="9"/>
    <x v="1"/>
    <n v="1500"/>
    <s v="Logitech"/>
    <n v="2500"/>
    <n v="1500"/>
    <n v="1000"/>
    <n v="0.4"/>
  </r>
  <r>
    <s v="O0650"/>
    <x v="271"/>
    <s v="Customer 96"/>
    <x v="7"/>
    <x v="1"/>
    <n v="3"/>
    <n v="45000"/>
    <x v="2"/>
    <x v="0"/>
    <n v="35000"/>
    <s v="HP"/>
    <n v="135000"/>
    <n v="105000"/>
    <n v="30000"/>
    <n v="0.22222222222222221"/>
  </r>
  <r>
    <s v="O0651"/>
    <x v="303"/>
    <s v="Customer 18"/>
    <x v="7"/>
    <x v="8"/>
    <n v="3"/>
    <n v="18000"/>
    <x v="7"/>
    <x v="2"/>
    <n v="12000"/>
    <s v="Kingston"/>
    <n v="54000"/>
    <n v="36000"/>
    <n v="18000"/>
    <n v="0.33333333333333331"/>
  </r>
  <r>
    <s v="O0652"/>
    <x v="261"/>
    <s v="Customer 7"/>
    <x v="4"/>
    <x v="8"/>
    <n v="3"/>
    <n v="18000"/>
    <x v="8"/>
    <x v="2"/>
    <n v="12000"/>
    <s v="Kingston"/>
    <n v="54000"/>
    <n v="36000"/>
    <n v="18000"/>
    <n v="0.33333333333333331"/>
  </r>
  <r>
    <s v="O0653"/>
    <x v="304"/>
    <s v="Customer 30"/>
    <x v="6"/>
    <x v="6"/>
    <n v="2"/>
    <n v="7000"/>
    <x v="4"/>
    <x v="1"/>
    <n v="5000"/>
    <s v="Sony"/>
    <n v="14000"/>
    <n v="10000"/>
    <n v="4000"/>
    <n v="0.2857142857142857"/>
  </r>
  <r>
    <s v="O0654"/>
    <x v="206"/>
    <s v="Customer 26"/>
    <x v="5"/>
    <x v="2"/>
    <n v="1"/>
    <n v="2500"/>
    <x v="3"/>
    <x v="1"/>
    <n v="1500"/>
    <s v="Logitech"/>
    <n v="2500"/>
    <n v="1500"/>
    <n v="1000"/>
    <n v="0.4"/>
  </r>
  <r>
    <s v="O0655"/>
    <x v="168"/>
    <s v="Customer 10"/>
    <x v="3"/>
    <x v="1"/>
    <n v="2"/>
    <n v="45000"/>
    <x v="3"/>
    <x v="0"/>
    <n v="35000"/>
    <s v="HP"/>
    <n v="90000"/>
    <n v="70000"/>
    <n v="20000"/>
    <n v="0.22222222222222221"/>
  </r>
  <r>
    <s v="O0656"/>
    <x v="43"/>
    <s v="Customer 58"/>
    <x v="7"/>
    <x v="0"/>
    <n v="3"/>
    <n v="150000"/>
    <x v="2"/>
    <x v="0"/>
    <n v="120000"/>
    <s v="Dell"/>
    <n v="450000"/>
    <n v="360000"/>
    <n v="90000"/>
    <n v="0.2"/>
  </r>
  <r>
    <s v="O0657"/>
    <x v="50"/>
    <s v="Customer 100"/>
    <x v="4"/>
    <x v="3"/>
    <n v="2"/>
    <n v="2000"/>
    <x v="8"/>
    <x v="2"/>
    <n v="1200"/>
    <s v="SanDisk"/>
    <n v="4000"/>
    <n v="2400"/>
    <n v="1600"/>
    <n v="0.4"/>
  </r>
  <r>
    <s v="O0658"/>
    <x v="65"/>
    <s v="Customer 80"/>
    <x v="6"/>
    <x v="3"/>
    <n v="5"/>
    <n v="2000"/>
    <x v="8"/>
    <x v="2"/>
    <n v="1200"/>
    <s v="SanDisk"/>
    <n v="10000"/>
    <n v="6000"/>
    <n v="4000"/>
    <n v="0.4"/>
  </r>
  <r>
    <s v="O0659"/>
    <x v="229"/>
    <s v="Customer 17"/>
    <x v="1"/>
    <x v="2"/>
    <n v="5"/>
    <n v="2500"/>
    <x v="2"/>
    <x v="1"/>
    <n v="1500"/>
    <s v="Logitech"/>
    <n v="12500"/>
    <n v="7500"/>
    <n v="5000"/>
    <n v="0.4"/>
  </r>
  <r>
    <s v="O0660"/>
    <x v="268"/>
    <s v="Customer 52"/>
    <x v="2"/>
    <x v="4"/>
    <n v="1"/>
    <n v="60000"/>
    <x v="6"/>
    <x v="0"/>
    <n v="50000"/>
    <s v="LG"/>
    <n v="60000"/>
    <n v="50000"/>
    <n v="10000"/>
    <n v="0.16666666666666666"/>
  </r>
  <r>
    <s v="O0661"/>
    <x v="88"/>
    <s v="Customer 70"/>
    <x v="0"/>
    <x v="4"/>
    <n v="4"/>
    <n v="60000"/>
    <x v="5"/>
    <x v="0"/>
    <n v="50000"/>
    <s v="LG"/>
    <n v="240000"/>
    <n v="200000"/>
    <n v="40000"/>
    <n v="0.16666666666666666"/>
  </r>
  <r>
    <s v="O0662"/>
    <x v="289"/>
    <s v="Customer 87"/>
    <x v="4"/>
    <x v="7"/>
    <n v="3"/>
    <n v="5000"/>
    <x v="6"/>
    <x v="1"/>
    <n v="3500"/>
    <s v="Logitech"/>
    <n v="15000"/>
    <n v="10500"/>
    <n v="4500"/>
    <n v="0.3"/>
  </r>
  <r>
    <s v="O0663"/>
    <x v="180"/>
    <s v="Customer 24"/>
    <x v="1"/>
    <x v="7"/>
    <n v="1"/>
    <n v="5000"/>
    <x v="9"/>
    <x v="1"/>
    <n v="3500"/>
    <s v="Logitech"/>
    <n v="5000"/>
    <n v="3500"/>
    <n v="1500"/>
    <n v="0.3"/>
  </r>
  <r>
    <s v="O0664"/>
    <x v="193"/>
    <s v="Customer 63"/>
    <x v="3"/>
    <x v="4"/>
    <n v="1"/>
    <n v="60000"/>
    <x v="3"/>
    <x v="0"/>
    <n v="50000"/>
    <s v="LG"/>
    <n v="60000"/>
    <n v="50000"/>
    <n v="10000"/>
    <n v="0.16666666666666666"/>
  </r>
  <r>
    <s v="O0665"/>
    <x v="5"/>
    <s v="Customer 57"/>
    <x v="7"/>
    <x v="1"/>
    <n v="2"/>
    <n v="45000"/>
    <x v="8"/>
    <x v="0"/>
    <n v="35000"/>
    <s v="HP"/>
    <n v="90000"/>
    <n v="70000"/>
    <n v="20000"/>
    <n v="0.22222222222222221"/>
  </r>
  <r>
    <s v="O0666"/>
    <x v="75"/>
    <s v="Customer 70"/>
    <x v="0"/>
    <x v="5"/>
    <n v="2"/>
    <n v="9500"/>
    <x v="4"/>
    <x v="1"/>
    <n v="7000"/>
    <s v="Logitech"/>
    <n v="19000"/>
    <n v="14000"/>
    <n v="5000"/>
    <n v="0.26315789473684209"/>
  </r>
  <r>
    <s v="O0667"/>
    <x v="193"/>
    <s v="Customer 51"/>
    <x v="5"/>
    <x v="8"/>
    <n v="1"/>
    <n v="18000"/>
    <x v="3"/>
    <x v="2"/>
    <n v="12000"/>
    <s v="Kingston"/>
    <n v="18000"/>
    <n v="12000"/>
    <n v="6000"/>
    <n v="0.33333333333333331"/>
  </r>
  <r>
    <s v="O0668"/>
    <x v="286"/>
    <s v="Customer 43"/>
    <x v="4"/>
    <x v="0"/>
    <n v="4"/>
    <n v="150000"/>
    <x v="8"/>
    <x v="0"/>
    <n v="120000"/>
    <s v="Dell"/>
    <n v="600000"/>
    <n v="480000"/>
    <n v="120000"/>
    <n v="0.2"/>
  </r>
  <r>
    <s v="O0669"/>
    <x v="106"/>
    <s v="Customer 25"/>
    <x v="1"/>
    <x v="5"/>
    <n v="2"/>
    <n v="9500"/>
    <x v="9"/>
    <x v="1"/>
    <n v="7000"/>
    <s v="Logitech"/>
    <n v="19000"/>
    <n v="14000"/>
    <n v="5000"/>
    <n v="0.26315789473684209"/>
  </r>
  <r>
    <s v="O0670"/>
    <x v="245"/>
    <s v="Customer 96"/>
    <x v="3"/>
    <x v="9"/>
    <n v="2"/>
    <n v="80000"/>
    <x v="5"/>
    <x v="0"/>
    <n v="65000"/>
    <s v="Samsung"/>
    <n v="160000"/>
    <n v="130000"/>
    <n v="30000"/>
    <n v="0.1875"/>
  </r>
  <r>
    <s v="O0671"/>
    <x v="31"/>
    <s v="Customer 63"/>
    <x v="4"/>
    <x v="5"/>
    <n v="1"/>
    <n v="9500"/>
    <x v="1"/>
    <x v="1"/>
    <n v="7000"/>
    <s v="Logitech"/>
    <n v="9500"/>
    <n v="7000"/>
    <n v="2500"/>
    <n v="0.26315789473684209"/>
  </r>
  <r>
    <s v="O0672"/>
    <x v="230"/>
    <s v="Customer 75"/>
    <x v="7"/>
    <x v="2"/>
    <n v="1"/>
    <n v="2500"/>
    <x v="3"/>
    <x v="1"/>
    <n v="1500"/>
    <s v="Logitech"/>
    <n v="2500"/>
    <n v="1500"/>
    <n v="1000"/>
    <n v="0.4"/>
  </r>
  <r>
    <s v="O0673"/>
    <x v="51"/>
    <s v="Customer 37"/>
    <x v="6"/>
    <x v="3"/>
    <n v="1"/>
    <n v="2000"/>
    <x v="8"/>
    <x v="2"/>
    <n v="1200"/>
    <s v="SanDisk"/>
    <n v="2000"/>
    <n v="1200"/>
    <n v="800"/>
    <n v="0.4"/>
  </r>
  <r>
    <s v="O0674"/>
    <x v="305"/>
    <s v="Customer 28"/>
    <x v="4"/>
    <x v="2"/>
    <n v="3"/>
    <n v="2500"/>
    <x v="5"/>
    <x v="1"/>
    <n v="1500"/>
    <s v="Logitech"/>
    <n v="7500"/>
    <n v="4500"/>
    <n v="3000"/>
    <n v="0.4"/>
  </r>
  <r>
    <s v="O0675"/>
    <x v="120"/>
    <s v="Customer 11"/>
    <x v="1"/>
    <x v="4"/>
    <n v="1"/>
    <n v="60000"/>
    <x v="7"/>
    <x v="0"/>
    <n v="50000"/>
    <s v="LG"/>
    <n v="60000"/>
    <n v="50000"/>
    <n v="10000"/>
    <n v="0.16666666666666666"/>
  </r>
  <r>
    <s v="O0676"/>
    <x v="146"/>
    <s v="Customer 46"/>
    <x v="2"/>
    <x v="4"/>
    <n v="5"/>
    <n v="60000"/>
    <x v="8"/>
    <x v="0"/>
    <n v="50000"/>
    <s v="LG"/>
    <n v="300000"/>
    <n v="250000"/>
    <n v="50000"/>
    <n v="0.16666666666666666"/>
  </r>
  <r>
    <s v="O0677"/>
    <x v="190"/>
    <s v="Customer 26"/>
    <x v="7"/>
    <x v="0"/>
    <n v="3"/>
    <n v="150000"/>
    <x v="4"/>
    <x v="0"/>
    <n v="120000"/>
    <s v="Dell"/>
    <n v="450000"/>
    <n v="360000"/>
    <n v="90000"/>
    <n v="0.2"/>
  </r>
  <r>
    <s v="O0678"/>
    <x v="306"/>
    <s v="Customer 12"/>
    <x v="4"/>
    <x v="3"/>
    <n v="2"/>
    <n v="2000"/>
    <x v="7"/>
    <x v="2"/>
    <n v="1200"/>
    <s v="SanDisk"/>
    <n v="4000"/>
    <n v="2400"/>
    <n v="1600"/>
    <n v="0.4"/>
  </r>
  <r>
    <s v="O0679"/>
    <x v="91"/>
    <s v="Customer 7"/>
    <x v="0"/>
    <x v="2"/>
    <n v="4"/>
    <n v="2500"/>
    <x v="9"/>
    <x v="1"/>
    <n v="1500"/>
    <s v="Logitech"/>
    <n v="10000"/>
    <n v="6000"/>
    <n v="4000"/>
    <n v="0.4"/>
  </r>
  <r>
    <s v="O0680"/>
    <x v="297"/>
    <s v="Customer 93"/>
    <x v="2"/>
    <x v="5"/>
    <n v="3"/>
    <n v="9500"/>
    <x v="9"/>
    <x v="1"/>
    <n v="7000"/>
    <s v="Logitech"/>
    <n v="28500"/>
    <n v="21000"/>
    <n v="7500"/>
    <n v="0.26315789473684209"/>
  </r>
  <r>
    <s v="O0681"/>
    <x v="244"/>
    <s v="Customer 15"/>
    <x v="7"/>
    <x v="3"/>
    <n v="5"/>
    <n v="2000"/>
    <x v="5"/>
    <x v="2"/>
    <n v="1200"/>
    <s v="SanDisk"/>
    <n v="10000"/>
    <n v="6000"/>
    <n v="4000"/>
    <n v="0.4"/>
  </r>
  <r>
    <s v="O0682"/>
    <x v="307"/>
    <s v="Customer 6"/>
    <x v="7"/>
    <x v="8"/>
    <n v="4"/>
    <n v="18000"/>
    <x v="3"/>
    <x v="2"/>
    <n v="12000"/>
    <s v="Kingston"/>
    <n v="72000"/>
    <n v="48000"/>
    <n v="24000"/>
    <n v="0.33333333333333331"/>
  </r>
  <r>
    <s v="O0683"/>
    <x v="106"/>
    <s v="Customer 1"/>
    <x v="1"/>
    <x v="6"/>
    <n v="3"/>
    <n v="7000"/>
    <x v="6"/>
    <x v="1"/>
    <n v="5000"/>
    <s v="Sony"/>
    <n v="21000"/>
    <n v="15000"/>
    <n v="6000"/>
    <n v="0.2857142857142857"/>
  </r>
  <r>
    <s v="O0684"/>
    <x v="212"/>
    <s v="Customer 73"/>
    <x v="5"/>
    <x v="3"/>
    <n v="2"/>
    <n v="2000"/>
    <x v="7"/>
    <x v="2"/>
    <n v="1200"/>
    <s v="SanDisk"/>
    <n v="4000"/>
    <n v="2400"/>
    <n v="1600"/>
    <n v="0.4"/>
  </r>
  <r>
    <s v="O0685"/>
    <x v="180"/>
    <s v="Customer 64"/>
    <x v="6"/>
    <x v="8"/>
    <n v="4"/>
    <n v="18000"/>
    <x v="3"/>
    <x v="2"/>
    <n v="12000"/>
    <s v="Kingston"/>
    <n v="72000"/>
    <n v="48000"/>
    <n v="24000"/>
    <n v="0.33333333333333331"/>
  </r>
  <r>
    <s v="O0686"/>
    <x v="94"/>
    <s v="Customer 66"/>
    <x v="1"/>
    <x v="6"/>
    <n v="3"/>
    <n v="7000"/>
    <x v="9"/>
    <x v="1"/>
    <n v="5000"/>
    <s v="Sony"/>
    <n v="21000"/>
    <n v="15000"/>
    <n v="6000"/>
    <n v="0.2857142857142857"/>
  </r>
  <r>
    <s v="O0687"/>
    <x v="308"/>
    <s v="Customer 29"/>
    <x v="3"/>
    <x v="1"/>
    <n v="5"/>
    <n v="45000"/>
    <x v="3"/>
    <x v="0"/>
    <n v="35000"/>
    <s v="HP"/>
    <n v="225000"/>
    <n v="175000"/>
    <n v="50000"/>
    <n v="0.22222222222222221"/>
  </r>
  <r>
    <s v="O0688"/>
    <x v="183"/>
    <s v="Customer 41"/>
    <x v="7"/>
    <x v="3"/>
    <n v="3"/>
    <n v="2000"/>
    <x v="4"/>
    <x v="2"/>
    <n v="1200"/>
    <s v="SanDisk"/>
    <n v="6000"/>
    <n v="3600"/>
    <n v="2400"/>
    <n v="0.4"/>
  </r>
  <r>
    <s v="O0689"/>
    <x v="309"/>
    <s v="Customer 75"/>
    <x v="7"/>
    <x v="5"/>
    <n v="5"/>
    <n v="9500"/>
    <x v="7"/>
    <x v="1"/>
    <n v="7000"/>
    <s v="Logitech"/>
    <n v="47500"/>
    <n v="35000"/>
    <n v="12500"/>
    <n v="0.26315789473684209"/>
  </r>
  <r>
    <s v="O0690"/>
    <x v="74"/>
    <s v="Customer 83"/>
    <x v="2"/>
    <x v="3"/>
    <n v="1"/>
    <n v="2000"/>
    <x v="1"/>
    <x v="2"/>
    <n v="1200"/>
    <s v="SanDisk"/>
    <n v="2000"/>
    <n v="1200"/>
    <n v="800"/>
    <n v="0.4"/>
  </r>
  <r>
    <s v="O0691"/>
    <x v="310"/>
    <s v="Customer 51"/>
    <x v="4"/>
    <x v="4"/>
    <n v="4"/>
    <n v="60000"/>
    <x v="1"/>
    <x v="0"/>
    <n v="50000"/>
    <s v="LG"/>
    <n v="240000"/>
    <n v="200000"/>
    <n v="40000"/>
    <n v="0.16666666666666666"/>
  </r>
  <r>
    <s v="O0692"/>
    <x v="60"/>
    <s v="Customer 6"/>
    <x v="0"/>
    <x v="6"/>
    <n v="5"/>
    <n v="7000"/>
    <x v="6"/>
    <x v="1"/>
    <n v="5000"/>
    <s v="Sony"/>
    <n v="35000"/>
    <n v="25000"/>
    <n v="10000"/>
    <n v="0.2857142857142857"/>
  </r>
  <r>
    <s v="O0693"/>
    <x v="273"/>
    <s v="Customer 55"/>
    <x v="7"/>
    <x v="4"/>
    <n v="3"/>
    <n v="60000"/>
    <x v="5"/>
    <x v="0"/>
    <n v="50000"/>
    <s v="LG"/>
    <n v="180000"/>
    <n v="150000"/>
    <n v="30000"/>
    <n v="0.16666666666666666"/>
  </r>
  <r>
    <s v="O0694"/>
    <x v="77"/>
    <s v="Customer 25"/>
    <x v="4"/>
    <x v="3"/>
    <n v="3"/>
    <n v="2000"/>
    <x v="5"/>
    <x v="2"/>
    <n v="1200"/>
    <s v="SanDisk"/>
    <n v="6000"/>
    <n v="3600"/>
    <n v="2400"/>
    <n v="0.4"/>
  </r>
  <r>
    <s v="O0695"/>
    <x v="188"/>
    <s v="Customer 21"/>
    <x v="2"/>
    <x v="5"/>
    <n v="2"/>
    <n v="9500"/>
    <x v="2"/>
    <x v="1"/>
    <n v="7000"/>
    <s v="Logitech"/>
    <n v="19000"/>
    <n v="14000"/>
    <n v="5000"/>
    <n v="0.26315789473684209"/>
  </r>
  <r>
    <s v="O0696"/>
    <x v="211"/>
    <s v="Customer 49"/>
    <x v="5"/>
    <x v="5"/>
    <n v="5"/>
    <n v="9500"/>
    <x v="8"/>
    <x v="1"/>
    <n v="7000"/>
    <s v="Logitech"/>
    <n v="47500"/>
    <n v="35000"/>
    <n v="12500"/>
    <n v="0.26315789473684209"/>
  </r>
  <r>
    <s v="O0697"/>
    <x v="83"/>
    <s v="Customer 20"/>
    <x v="1"/>
    <x v="6"/>
    <n v="1"/>
    <n v="7000"/>
    <x v="3"/>
    <x v="1"/>
    <n v="5000"/>
    <s v="Sony"/>
    <n v="7000"/>
    <n v="5000"/>
    <n v="2000"/>
    <n v="0.2857142857142857"/>
  </r>
  <r>
    <s v="O0698"/>
    <x v="165"/>
    <s v="Customer 47"/>
    <x v="0"/>
    <x v="3"/>
    <n v="3"/>
    <n v="2000"/>
    <x v="3"/>
    <x v="2"/>
    <n v="1200"/>
    <s v="SanDisk"/>
    <n v="6000"/>
    <n v="3600"/>
    <n v="2400"/>
    <n v="0.4"/>
  </r>
  <r>
    <s v="O0699"/>
    <x v="79"/>
    <s v="Customer 31"/>
    <x v="2"/>
    <x v="5"/>
    <n v="4"/>
    <n v="9500"/>
    <x v="0"/>
    <x v="1"/>
    <n v="7000"/>
    <s v="Logitech"/>
    <n v="38000"/>
    <n v="28000"/>
    <n v="10000"/>
    <n v="0.26315789473684209"/>
  </r>
  <r>
    <s v="O0700"/>
    <x v="156"/>
    <s v="Customer 25"/>
    <x v="4"/>
    <x v="0"/>
    <n v="5"/>
    <n v="150000"/>
    <x v="5"/>
    <x v="0"/>
    <n v="120000"/>
    <s v="Dell"/>
    <n v="750000"/>
    <n v="600000"/>
    <n v="150000"/>
    <n v="0.2"/>
  </r>
  <r>
    <s v="O0701"/>
    <x v="183"/>
    <s v="Customer 21"/>
    <x v="6"/>
    <x v="2"/>
    <n v="3"/>
    <n v="2500"/>
    <x v="3"/>
    <x v="1"/>
    <n v="1500"/>
    <s v="Logitech"/>
    <n v="7500"/>
    <n v="4500"/>
    <n v="3000"/>
    <n v="0.4"/>
  </r>
  <r>
    <s v="O0702"/>
    <x v="144"/>
    <s v="Customer 100"/>
    <x v="1"/>
    <x v="3"/>
    <n v="1"/>
    <n v="2000"/>
    <x v="2"/>
    <x v="2"/>
    <n v="1200"/>
    <s v="SanDisk"/>
    <n v="2000"/>
    <n v="1200"/>
    <n v="800"/>
    <n v="0.4"/>
  </r>
  <r>
    <s v="O0703"/>
    <x v="49"/>
    <s v="Customer 38"/>
    <x v="7"/>
    <x v="3"/>
    <n v="1"/>
    <n v="2000"/>
    <x v="0"/>
    <x v="2"/>
    <n v="1200"/>
    <s v="SanDisk"/>
    <n v="2000"/>
    <n v="1200"/>
    <n v="800"/>
    <n v="0.4"/>
  </r>
  <r>
    <s v="O0704"/>
    <x v="236"/>
    <s v="Customer 96"/>
    <x v="2"/>
    <x v="1"/>
    <n v="5"/>
    <n v="45000"/>
    <x v="4"/>
    <x v="0"/>
    <n v="35000"/>
    <s v="HP"/>
    <n v="225000"/>
    <n v="175000"/>
    <n v="50000"/>
    <n v="0.22222222222222221"/>
  </r>
  <r>
    <s v="O0705"/>
    <x v="59"/>
    <s v="Customer 94"/>
    <x v="3"/>
    <x v="5"/>
    <n v="2"/>
    <n v="9500"/>
    <x v="5"/>
    <x v="1"/>
    <n v="7000"/>
    <s v="Logitech"/>
    <n v="19000"/>
    <n v="14000"/>
    <n v="5000"/>
    <n v="0.26315789473684209"/>
  </r>
  <r>
    <s v="O0706"/>
    <x v="311"/>
    <s v="Customer 66"/>
    <x v="7"/>
    <x v="5"/>
    <n v="4"/>
    <n v="9500"/>
    <x v="8"/>
    <x v="1"/>
    <n v="7000"/>
    <s v="Logitech"/>
    <n v="38000"/>
    <n v="28000"/>
    <n v="10000"/>
    <n v="0.26315789473684209"/>
  </r>
  <r>
    <s v="O0707"/>
    <x v="96"/>
    <s v="Customer 58"/>
    <x v="6"/>
    <x v="1"/>
    <n v="3"/>
    <n v="45000"/>
    <x v="9"/>
    <x v="0"/>
    <n v="35000"/>
    <s v="HP"/>
    <n v="135000"/>
    <n v="105000"/>
    <n v="30000"/>
    <n v="0.22222222222222221"/>
  </r>
  <r>
    <s v="O0708"/>
    <x v="81"/>
    <s v="Customer 23"/>
    <x v="7"/>
    <x v="4"/>
    <n v="4"/>
    <n v="60000"/>
    <x v="3"/>
    <x v="0"/>
    <n v="50000"/>
    <s v="LG"/>
    <n v="240000"/>
    <n v="200000"/>
    <n v="40000"/>
    <n v="0.16666666666666666"/>
  </r>
  <r>
    <s v="O0709"/>
    <x v="237"/>
    <s v="Customer 88"/>
    <x v="6"/>
    <x v="9"/>
    <n v="4"/>
    <n v="80000"/>
    <x v="6"/>
    <x v="0"/>
    <n v="65000"/>
    <s v="Samsung"/>
    <n v="320000"/>
    <n v="260000"/>
    <n v="60000"/>
    <n v="0.1875"/>
  </r>
  <r>
    <s v="O0710"/>
    <x v="12"/>
    <s v="Customer 11"/>
    <x v="6"/>
    <x v="9"/>
    <n v="3"/>
    <n v="80000"/>
    <x v="6"/>
    <x v="0"/>
    <n v="65000"/>
    <s v="Samsung"/>
    <n v="240000"/>
    <n v="195000"/>
    <n v="45000"/>
    <n v="0.1875"/>
  </r>
  <r>
    <s v="O0711"/>
    <x v="293"/>
    <s v="Customer 65"/>
    <x v="2"/>
    <x v="5"/>
    <n v="5"/>
    <n v="9500"/>
    <x v="0"/>
    <x v="1"/>
    <n v="7000"/>
    <s v="Logitech"/>
    <n v="47500"/>
    <n v="35000"/>
    <n v="12500"/>
    <n v="0.26315789473684209"/>
  </r>
  <r>
    <s v="O0712"/>
    <x v="250"/>
    <s v="Customer 72"/>
    <x v="4"/>
    <x v="1"/>
    <n v="2"/>
    <n v="45000"/>
    <x v="5"/>
    <x v="0"/>
    <n v="35000"/>
    <s v="HP"/>
    <n v="90000"/>
    <n v="70000"/>
    <n v="20000"/>
    <n v="0.22222222222222221"/>
  </r>
  <r>
    <s v="O0713"/>
    <x v="275"/>
    <s v="Customer 5"/>
    <x v="1"/>
    <x v="1"/>
    <n v="2"/>
    <n v="45000"/>
    <x v="9"/>
    <x v="0"/>
    <n v="35000"/>
    <s v="HP"/>
    <n v="90000"/>
    <n v="70000"/>
    <n v="20000"/>
    <n v="0.22222222222222221"/>
  </r>
  <r>
    <s v="O0714"/>
    <x v="132"/>
    <s v="Customer 56"/>
    <x v="6"/>
    <x v="9"/>
    <n v="5"/>
    <n v="80000"/>
    <x v="2"/>
    <x v="0"/>
    <n v="65000"/>
    <s v="Samsung"/>
    <n v="400000"/>
    <n v="325000"/>
    <n v="75000"/>
    <n v="0.1875"/>
  </r>
  <r>
    <s v="O0715"/>
    <x v="174"/>
    <s v="Customer 25"/>
    <x v="7"/>
    <x v="7"/>
    <n v="3"/>
    <n v="5000"/>
    <x v="0"/>
    <x v="1"/>
    <n v="3500"/>
    <s v="Logitech"/>
    <n v="15000"/>
    <n v="10500"/>
    <n v="4500"/>
    <n v="0.3"/>
  </r>
  <r>
    <s v="O0716"/>
    <x v="11"/>
    <s v="Customer 26"/>
    <x v="3"/>
    <x v="3"/>
    <n v="1"/>
    <n v="2000"/>
    <x v="5"/>
    <x v="2"/>
    <n v="1200"/>
    <s v="SanDisk"/>
    <n v="2000"/>
    <n v="1200"/>
    <n v="800"/>
    <n v="0.4"/>
  </r>
  <r>
    <s v="O0717"/>
    <x v="57"/>
    <s v="Customer 98"/>
    <x v="4"/>
    <x v="8"/>
    <n v="2"/>
    <n v="18000"/>
    <x v="8"/>
    <x v="2"/>
    <n v="12000"/>
    <s v="Kingston"/>
    <n v="36000"/>
    <n v="24000"/>
    <n v="12000"/>
    <n v="0.33333333333333331"/>
  </r>
  <r>
    <s v="O0718"/>
    <x v="208"/>
    <s v="Customer 92"/>
    <x v="7"/>
    <x v="8"/>
    <n v="5"/>
    <n v="18000"/>
    <x v="9"/>
    <x v="2"/>
    <n v="12000"/>
    <s v="Kingston"/>
    <n v="90000"/>
    <n v="60000"/>
    <n v="30000"/>
    <n v="0.33333333333333331"/>
  </r>
  <r>
    <s v="O0719"/>
    <x v="12"/>
    <s v="Customer 81"/>
    <x v="4"/>
    <x v="4"/>
    <n v="3"/>
    <n v="60000"/>
    <x v="8"/>
    <x v="0"/>
    <n v="50000"/>
    <s v="LG"/>
    <n v="180000"/>
    <n v="150000"/>
    <n v="30000"/>
    <n v="0.16666666666666666"/>
  </r>
  <r>
    <s v="O0720"/>
    <x v="221"/>
    <s v="Customer 30"/>
    <x v="0"/>
    <x v="0"/>
    <n v="5"/>
    <n v="150000"/>
    <x v="4"/>
    <x v="0"/>
    <n v="120000"/>
    <s v="Dell"/>
    <n v="750000"/>
    <n v="600000"/>
    <n v="150000"/>
    <n v="0.2"/>
  </r>
  <r>
    <s v="O0721"/>
    <x v="312"/>
    <s v="Customer 72"/>
    <x v="5"/>
    <x v="2"/>
    <n v="2"/>
    <n v="2500"/>
    <x v="4"/>
    <x v="1"/>
    <n v="1500"/>
    <s v="Logitech"/>
    <n v="5000"/>
    <n v="3000"/>
    <n v="2000"/>
    <n v="0.4"/>
  </r>
  <r>
    <s v="O0722"/>
    <x v="307"/>
    <s v="Customer 63"/>
    <x v="2"/>
    <x v="8"/>
    <n v="4"/>
    <n v="18000"/>
    <x v="7"/>
    <x v="2"/>
    <n v="12000"/>
    <s v="Kingston"/>
    <n v="72000"/>
    <n v="48000"/>
    <n v="24000"/>
    <n v="0.33333333333333331"/>
  </r>
  <r>
    <s v="O0723"/>
    <x v="70"/>
    <s v="Customer 83"/>
    <x v="6"/>
    <x v="3"/>
    <n v="4"/>
    <n v="2000"/>
    <x v="9"/>
    <x v="2"/>
    <n v="1200"/>
    <s v="SanDisk"/>
    <n v="8000"/>
    <n v="4800"/>
    <n v="3200"/>
    <n v="0.4"/>
  </r>
  <r>
    <s v="O0724"/>
    <x v="311"/>
    <s v="Customer 13"/>
    <x v="1"/>
    <x v="0"/>
    <n v="4"/>
    <n v="150000"/>
    <x v="0"/>
    <x v="0"/>
    <n v="120000"/>
    <s v="Dell"/>
    <n v="600000"/>
    <n v="480000"/>
    <n v="120000"/>
    <n v="0.2"/>
  </r>
  <r>
    <s v="O0725"/>
    <x v="109"/>
    <s v="Customer 41"/>
    <x v="1"/>
    <x v="5"/>
    <n v="5"/>
    <n v="9500"/>
    <x v="6"/>
    <x v="1"/>
    <n v="7000"/>
    <s v="Logitech"/>
    <n v="47500"/>
    <n v="35000"/>
    <n v="12500"/>
    <n v="0.26315789473684209"/>
  </r>
  <r>
    <s v="O0726"/>
    <x v="310"/>
    <s v="Customer 14"/>
    <x v="7"/>
    <x v="2"/>
    <n v="3"/>
    <n v="2500"/>
    <x v="1"/>
    <x v="1"/>
    <n v="1500"/>
    <s v="Logitech"/>
    <n v="7500"/>
    <n v="4500"/>
    <n v="3000"/>
    <n v="0.4"/>
  </r>
  <r>
    <s v="O0727"/>
    <x v="313"/>
    <s v="Customer 22"/>
    <x v="1"/>
    <x v="8"/>
    <n v="2"/>
    <n v="18000"/>
    <x v="9"/>
    <x v="2"/>
    <n v="12000"/>
    <s v="Kingston"/>
    <n v="36000"/>
    <n v="24000"/>
    <n v="12000"/>
    <n v="0.33333333333333331"/>
  </r>
  <r>
    <s v="O0728"/>
    <x v="300"/>
    <s v="Customer 79"/>
    <x v="5"/>
    <x v="3"/>
    <n v="5"/>
    <n v="2000"/>
    <x v="0"/>
    <x v="2"/>
    <n v="1200"/>
    <s v="SanDisk"/>
    <n v="10000"/>
    <n v="6000"/>
    <n v="4000"/>
    <n v="0.4"/>
  </r>
  <r>
    <s v="O0729"/>
    <x v="270"/>
    <s v="Customer 15"/>
    <x v="2"/>
    <x v="0"/>
    <n v="5"/>
    <n v="150000"/>
    <x v="0"/>
    <x v="0"/>
    <n v="120000"/>
    <s v="Dell"/>
    <n v="750000"/>
    <n v="600000"/>
    <n v="150000"/>
    <n v="0.2"/>
  </r>
  <r>
    <s v="O0730"/>
    <x v="116"/>
    <s v="Customer 37"/>
    <x v="5"/>
    <x v="5"/>
    <n v="2"/>
    <n v="9500"/>
    <x v="5"/>
    <x v="1"/>
    <n v="7000"/>
    <s v="Logitech"/>
    <n v="19000"/>
    <n v="14000"/>
    <n v="5000"/>
    <n v="0.26315789473684209"/>
  </r>
  <r>
    <s v="O0731"/>
    <x v="314"/>
    <s v="Customer 29"/>
    <x v="5"/>
    <x v="1"/>
    <n v="5"/>
    <n v="45000"/>
    <x v="4"/>
    <x v="0"/>
    <n v="35000"/>
    <s v="HP"/>
    <n v="225000"/>
    <n v="175000"/>
    <n v="50000"/>
    <n v="0.22222222222222221"/>
  </r>
  <r>
    <s v="O0732"/>
    <x v="240"/>
    <s v="Customer 69"/>
    <x v="4"/>
    <x v="6"/>
    <n v="3"/>
    <n v="7000"/>
    <x v="5"/>
    <x v="1"/>
    <n v="5000"/>
    <s v="Sony"/>
    <n v="21000"/>
    <n v="15000"/>
    <n v="6000"/>
    <n v="0.2857142857142857"/>
  </r>
  <r>
    <s v="O0733"/>
    <x v="137"/>
    <s v="Customer 15"/>
    <x v="6"/>
    <x v="7"/>
    <n v="5"/>
    <n v="5000"/>
    <x v="2"/>
    <x v="1"/>
    <n v="3500"/>
    <s v="Logitech"/>
    <n v="25000"/>
    <n v="17500"/>
    <n v="7500"/>
    <n v="0.3"/>
  </r>
  <r>
    <s v="O0734"/>
    <x v="279"/>
    <s v="Customer 20"/>
    <x v="5"/>
    <x v="9"/>
    <n v="5"/>
    <n v="80000"/>
    <x v="4"/>
    <x v="0"/>
    <n v="65000"/>
    <s v="Samsung"/>
    <n v="400000"/>
    <n v="325000"/>
    <n v="75000"/>
    <n v="0.1875"/>
  </r>
  <r>
    <s v="O0735"/>
    <x v="60"/>
    <s v="Customer 43"/>
    <x v="6"/>
    <x v="4"/>
    <n v="1"/>
    <n v="60000"/>
    <x v="3"/>
    <x v="0"/>
    <n v="50000"/>
    <s v="LG"/>
    <n v="60000"/>
    <n v="50000"/>
    <n v="10000"/>
    <n v="0.16666666666666666"/>
  </r>
  <r>
    <s v="O0736"/>
    <x v="273"/>
    <s v="Customer 100"/>
    <x v="6"/>
    <x v="4"/>
    <n v="2"/>
    <n v="60000"/>
    <x v="5"/>
    <x v="0"/>
    <n v="50000"/>
    <s v="LG"/>
    <n v="120000"/>
    <n v="100000"/>
    <n v="20000"/>
    <n v="0.16666666666666666"/>
  </r>
  <r>
    <s v="O0737"/>
    <x v="315"/>
    <s v="Customer 69"/>
    <x v="2"/>
    <x v="9"/>
    <n v="3"/>
    <n v="80000"/>
    <x v="6"/>
    <x v="0"/>
    <n v="65000"/>
    <s v="Samsung"/>
    <n v="240000"/>
    <n v="195000"/>
    <n v="45000"/>
    <n v="0.1875"/>
  </r>
  <r>
    <s v="O0738"/>
    <x v="228"/>
    <s v="Customer 30"/>
    <x v="3"/>
    <x v="4"/>
    <n v="2"/>
    <n v="60000"/>
    <x v="8"/>
    <x v="0"/>
    <n v="50000"/>
    <s v="LG"/>
    <n v="120000"/>
    <n v="100000"/>
    <n v="20000"/>
    <n v="0.16666666666666666"/>
  </r>
  <r>
    <s v="O0739"/>
    <x v="289"/>
    <s v="Customer 4"/>
    <x v="5"/>
    <x v="3"/>
    <n v="2"/>
    <n v="2000"/>
    <x v="4"/>
    <x v="2"/>
    <n v="1200"/>
    <s v="SanDisk"/>
    <n v="4000"/>
    <n v="2400"/>
    <n v="1600"/>
    <n v="0.4"/>
  </r>
  <r>
    <s v="O0740"/>
    <x v="183"/>
    <s v="Customer 2"/>
    <x v="1"/>
    <x v="9"/>
    <n v="1"/>
    <n v="80000"/>
    <x v="7"/>
    <x v="0"/>
    <n v="65000"/>
    <s v="Samsung"/>
    <n v="80000"/>
    <n v="65000"/>
    <n v="15000"/>
    <n v="0.1875"/>
  </r>
  <r>
    <s v="O0741"/>
    <x v="316"/>
    <s v="Customer 51"/>
    <x v="3"/>
    <x v="1"/>
    <n v="5"/>
    <n v="45000"/>
    <x v="9"/>
    <x v="0"/>
    <n v="35000"/>
    <s v="HP"/>
    <n v="225000"/>
    <n v="175000"/>
    <n v="50000"/>
    <n v="0.22222222222222221"/>
  </r>
  <r>
    <s v="O0742"/>
    <x v="218"/>
    <s v="Customer 6"/>
    <x v="2"/>
    <x v="4"/>
    <n v="1"/>
    <n v="60000"/>
    <x v="5"/>
    <x v="0"/>
    <n v="50000"/>
    <s v="LG"/>
    <n v="60000"/>
    <n v="50000"/>
    <n v="10000"/>
    <n v="0.16666666666666666"/>
  </r>
  <r>
    <s v="O0743"/>
    <x v="295"/>
    <s v="Customer 28"/>
    <x v="3"/>
    <x v="8"/>
    <n v="5"/>
    <n v="18000"/>
    <x v="1"/>
    <x v="2"/>
    <n v="12000"/>
    <s v="Kingston"/>
    <n v="90000"/>
    <n v="60000"/>
    <n v="30000"/>
    <n v="0.33333333333333331"/>
  </r>
  <r>
    <s v="O0744"/>
    <x v="27"/>
    <s v="Customer 82"/>
    <x v="6"/>
    <x v="4"/>
    <n v="2"/>
    <n v="60000"/>
    <x v="8"/>
    <x v="0"/>
    <n v="50000"/>
    <s v="LG"/>
    <n v="120000"/>
    <n v="100000"/>
    <n v="20000"/>
    <n v="0.16666666666666666"/>
  </r>
  <r>
    <s v="O0745"/>
    <x v="317"/>
    <s v="Customer 38"/>
    <x v="5"/>
    <x v="2"/>
    <n v="5"/>
    <n v="2500"/>
    <x v="0"/>
    <x v="1"/>
    <n v="1500"/>
    <s v="Logitech"/>
    <n v="12500"/>
    <n v="7500"/>
    <n v="5000"/>
    <n v="0.4"/>
  </r>
  <r>
    <s v="O0746"/>
    <x v="167"/>
    <s v="Customer 94"/>
    <x v="1"/>
    <x v="9"/>
    <n v="5"/>
    <n v="80000"/>
    <x v="9"/>
    <x v="0"/>
    <n v="65000"/>
    <s v="Samsung"/>
    <n v="400000"/>
    <n v="325000"/>
    <n v="75000"/>
    <n v="0.1875"/>
  </r>
  <r>
    <s v="O0747"/>
    <x v="151"/>
    <s v="Customer 82"/>
    <x v="7"/>
    <x v="5"/>
    <n v="4"/>
    <n v="9500"/>
    <x v="0"/>
    <x v="1"/>
    <n v="7000"/>
    <s v="Logitech"/>
    <n v="38000"/>
    <n v="28000"/>
    <n v="10000"/>
    <n v="0.26315789473684209"/>
  </r>
  <r>
    <s v="O0748"/>
    <x v="206"/>
    <s v="Customer 17"/>
    <x v="2"/>
    <x v="0"/>
    <n v="1"/>
    <n v="150000"/>
    <x v="7"/>
    <x v="0"/>
    <n v="120000"/>
    <s v="Dell"/>
    <n v="150000"/>
    <n v="120000"/>
    <n v="30000"/>
    <n v="0.2"/>
  </r>
  <r>
    <s v="O0749"/>
    <x v="73"/>
    <s v="Customer 86"/>
    <x v="4"/>
    <x v="4"/>
    <n v="4"/>
    <n v="60000"/>
    <x v="0"/>
    <x v="0"/>
    <n v="50000"/>
    <s v="LG"/>
    <n v="240000"/>
    <n v="200000"/>
    <n v="40000"/>
    <n v="0.16666666666666666"/>
  </r>
  <r>
    <s v="O0750"/>
    <x v="186"/>
    <s v="Customer 25"/>
    <x v="6"/>
    <x v="0"/>
    <n v="4"/>
    <n v="150000"/>
    <x v="8"/>
    <x v="0"/>
    <n v="120000"/>
    <s v="Dell"/>
    <n v="600000"/>
    <n v="480000"/>
    <n v="120000"/>
    <n v="0.2"/>
  </r>
  <r>
    <s v="O0751"/>
    <x v="196"/>
    <s v="Customer 9"/>
    <x v="3"/>
    <x v="1"/>
    <n v="4"/>
    <n v="45000"/>
    <x v="0"/>
    <x v="0"/>
    <n v="35000"/>
    <s v="HP"/>
    <n v="180000"/>
    <n v="140000"/>
    <n v="40000"/>
    <n v="0.22222222222222221"/>
  </r>
  <r>
    <s v="O0752"/>
    <x v="4"/>
    <s v="Customer 28"/>
    <x v="4"/>
    <x v="7"/>
    <n v="3"/>
    <n v="5000"/>
    <x v="8"/>
    <x v="1"/>
    <n v="3500"/>
    <s v="Logitech"/>
    <n v="15000"/>
    <n v="10500"/>
    <n v="4500"/>
    <n v="0.3"/>
  </r>
  <r>
    <s v="O0753"/>
    <x v="189"/>
    <s v="Customer 69"/>
    <x v="6"/>
    <x v="7"/>
    <n v="3"/>
    <n v="5000"/>
    <x v="4"/>
    <x v="1"/>
    <n v="3500"/>
    <s v="Logitech"/>
    <n v="15000"/>
    <n v="10500"/>
    <n v="4500"/>
    <n v="0.3"/>
  </r>
  <r>
    <s v="O0754"/>
    <x v="92"/>
    <s v="Customer 87"/>
    <x v="7"/>
    <x v="8"/>
    <n v="2"/>
    <n v="18000"/>
    <x v="0"/>
    <x v="2"/>
    <n v="12000"/>
    <s v="Kingston"/>
    <n v="36000"/>
    <n v="24000"/>
    <n v="12000"/>
    <n v="0.33333333333333331"/>
  </r>
  <r>
    <s v="O0755"/>
    <x v="10"/>
    <s v="Customer 20"/>
    <x v="5"/>
    <x v="7"/>
    <n v="5"/>
    <n v="5000"/>
    <x v="4"/>
    <x v="1"/>
    <n v="3500"/>
    <s v="Logitech"/>
    <n v="25000"/>
    <n v="17500"/>
    <n v="7500"/>
    <n v="0.3"/>
  </r>
  <r>
    <s v="O0756"/>
    <x v="3"/>
    <s v="Customer 25"/>
    <x v="3"/>
    <x v="3"/>
    <n v="5"/>
    <n v="2000"/>
    <x v="4"/>
    <x v="2"/>
    <n v="1200"/>
    <s v="SanDisk"/>
    <n v="10000"/>
    <n v="6000"/>
    <n v="4000"/>
    <n v="0.4"/>
  </r>
  <r>
    <s v="O0757"/>
    <x v="258"/>
    <s v="Customer 56"/>
    <x v="3"/>
    <x v="0"/>
    <n v="5"/>
    <n v="150000"/>
    <x v="2"/>
    <x v="0"/>
    <n v="120000"/>
    <s v="Dell"/>
    <n v="750000"/>
    <n v="600000"/>
    <n v="150000"/>
    <n v="0.2"/>
  </r>
  <r>
    <s v="O0758"/>
    <x v="317"/>
    <s v="Customer 94"/>
    <x v="2"/>
    <x v="4"/>
    <n v="5"/>
    <n v="60000"/>
    <x v="2"/>
    <x v="0"/>
    <n v="50000"/>
    <s v="LG"/>
    <n v="300000"/>
    <n v="250000"/>
    <n v="50000"/>
    <n v="0.16666666666666666"/>
  </r>
  <r>
    <s v="O0759"/>
    <x v="67"/>
    <s v="Customer 95"/>
    <x v="4"/>
    <x v="9"/>
    <n v="3"/>
    <n v="80000"/>
    <x v="6"/>
    <x v="0"/>
    <n v="65000"/>
    <s v="Samsung"/>
    <n v="240000"/>
    <n v="195000"/>
    <n v="45000"/>
    <n v="0.1875"/>
  </r>
  <r>
    <s v="O0760"/>
    <x v="318"/>
    <s v="Customer 45"/>
    <x v="1"/>
    <x v="6"/>
    <n v="1"/>
    <n v="7000"/>
    <x v="7"/>
    <x v="1"/>
    <n v="5000"/>
    <s v="Sony"/>
    <n v="7000"/>
    <n v="5000"/>
    <n v="2000"/>
    <n v="0.2857142857142857"/>
  </r>
  <r>
    <s v="O0761"/>
    <x v="319"/>
    <s v="Customer 78"/>
    <x v="5"/>
    <x v="9"/>
    <n v="2"/>
    <n v="80000"/>
    <x v="7"/>
    <x v="0"/>
    <n v="65000"/>
    <s v="Samsung"/>
    <n v="160000"/>
    <n v="130000"/>
    <n v="30000"/>
    <n v="0.1875"/>
  </r>
  <r>
    <s v="O0762"/>
    <x v="154"/>
    <s v="Customer 24"/>
    <x v="3"/>
    <x v="9"/>
    <n v="1"/>
    <n v="80000"/>
    <x v="5"/>
    <x v="0"/>
    <n v="65000"/>
    <s v="Samsung"/>
    <n v="80000"/>
    <n v="65000"/>
    <n v="15000"/>
    <n v="0.1875"/>
  </r>
  <r>
    <s v="O0763"/>
    <x v="135"/>
    <s v="Customer 87"/>
    <x v="5"/>
    <x v="3"/>
    <n v="4"/>
    <n v="2000"/>
    <x v="1"/>
    <x v="2"/>
    <n v="1200"/>
    <s v="SanDisk"/>
    <n v="8000"/>
    <n v="4800"/>
    <n v="3200"/>
    <n v="0.4"/>
  </r>
  <r>
    <s v="O0764"/>
    <x v="163"/>
    <s v="Customer 46"/>
    <x v="7"/>
    <x v="1"/>
    <n v="5"/>
    <n v="45000"/>
    <x v="3"/>
    <x v="0"/>
    <n v="35000"/>
    <s v="HP"/>
    <n v="225000"/>
    <n v="175000"/>
    <n v="50000"/>
    <n v="0.22222222222222221"/>
  </r>
  <r>
    <s v="O0765"/>
    <x v="6"/>
    <s v="Customer 66"/>
    <x v="0"/>
    <x v="9"/>
    <n v="5"/>
    <n v="80000"/>
    <x v="8"/>
    <x v="0"/>
    <n v="65000"/>
    <s v="Samsung"/>
    <n v="400000"/>
    <n v="325000"/>
    <n v="75000"/>
    <n v="0.1875"/>
  </r>
  <r>
    <s v="O0766"/>
    <x v="5"/>
    <s v="Customer 3"/>
    <x v="6"/>
    <x v="8"/>
    <n v="4"/>
    <n v="18000"/>
    <x v="9"/>
    <x v="2"/>
    <n v="12000"/>
    <s v="Kingston"/>
    <n v="72000"/>
    <n v="48000"/>
    <n v="24000"/>
    <n v="0.33333333333333331"/>
  </r>
  <r>
    <s v="O0767"/>
    <x v="249"/>
    <s v="Customer 96"/>
    <x v="0"/>
    <x v="3"/>
    <n v="2"/>
    <n v="2000"/>
    <x v="8"/>
    <x v="2"/>
    <n v="1200"/>
    <s v="SanDisk"/>
    <n v="4000"/>
    <n v="2400"/>
    <n v="1600"/>
    <n v="0.4"/>
  </r>
  <r>
    <s v="O0768"/>
    <x v="320"/>
    <s v="Customer 15"/>
    <x v="1"/>
    <x v="0"/>
    <n v="5"/>
    <n v="150000"/>
    <x v="2"/>
    <x v="0"/>
    <n v="120000"/>
    <s v="Dell"/>
    <n v="750000"/>
    <n v="600000"/>
    <n v="150000"/>
    <n v="0.2"/>
  </r>
  <r>
    <s v="O0769"/>
    <x v="191"/>
    <s v="Customer 79"/>
    <x v="4"/>
    <x v="8"/>
    <n v="5"/>
    <n v="18000"/>
    <x v="7"/>
    <x v="2"/>
    <n v="12000"/>
    <s v="Kingston"/>
    <n v="90000"/>
    <n v="60000"/>
    <n v="30000"/>
    <n v="0.33333333333333331"/>
  </r>
  <r>
    <s v="O0770"/>
    <x v="181"/>
    <s v="Customer 89"/>
    <x v="2"/>
    <x v="3"/>
    <n v="2"/>
    <n v="2000"/>
    <x v="4"/>
    <x v="2"/>
    <n v="1200"/>
    <s v="SanDisk"/>
    <n v="4000"/>
    <n v="2400"/>
    <n v="1600"/>
    <n v="0.4"/>
  </r>
  <r>
    <s v="O0771"/>
    <x v="97"/>
    <s v="Customer 30"/>
    <x v="5"/>
    <x v="4"/>
    <n v="3"/>
    <n v="60000"/>
    <x v="2"/>
    <x v="0"/>
    <n v="50000"/>
    <s v="LG"/>
    <n v="180000"/>
    <n v="150000"/>
    <n v="30000"/>
    <n v="0.16666666666666666"/>
  </r>
  <r>
    <s v="O0772"/>
    <x v="272"/>
    <s v="Customer 4"/>
    <x v="7"/>
    <x v="5"/>
    <n v="4"/>
    <n v="9500"/>
    <x v="0"/>
    <x v="1"/>
    <n v="7000"/>
    <s v="Logitech"/>
    <n v="38000"/>
    <n v="28000"/>
    <n v="10000"/>
    <n v="0.26315789473684209"/>
  </r>
  <r>
    <s v="O0773"/>
    <x v="126"/>
    <s v="Customer 1"/>
    <x v="3"/>
    <x v="2"/>
    <n v="2"/>
    <n v="2500"/>
    <x v="5"/>
    <x v="1"/>
    <n v="1500"/>
    <s v="Logitech"/>
    <n v="5000"/>
    <n v="3000"/>
    <n v="2000"/>
    <n v="0.4"/>
  </r>
  <r>
    <s v="O0774"/>
    <x v="161"/>
    <s v="Customer 76"/>
    <x v="5"/>
    <x v="8"/>
    <n v="5"/>
    <n v="18000"/>
    <x v="9"/>
    <x v="2"/>
    <n v="12000"/>
    <s v="Kingston"/>
    <n v="90000"/>
    <n v="60000"/>
    <n v="30000"/>
    <n v="0.33333333333333331"/>
  </r>
  <r>
    <s v="O0775"/>
    <x v="168"/>
    <s v="Customer 20"/>
    <x v="3"/>
    <x v="0"/>
    <n v="2"/>
    <n v="150000"/>
    <x v="1"/>
    <x v="0"/>
    <n v="120000"/>
    <s v="Dell"/>
    <n v="300000"/>
    <n v="240000"/>
    <n v="60000"/>
    <n v="0.2"/>
  </r>
  <r>
    <s v="O0776"/>
    <x v="317"/>
    <s v="Customer 25"/>
    <x v="2"/>
    <x v="1"/>
    <n v="2"/>
    <n v="45000"/>
    <x v="2"/>
    <x v="0"/>
    <n v="35000"/>
    <s v="HP"/>
    <n v="90000"/>
    <n v="70000"/>
    <n v="20000"/>
    <n v="0.22222222222222221"/>
  </r>
  <r>
    <s v="O0777"/>
    <x v="84"/>
    <s v="Customer 93"/>
    <x v="4"/>
    <x v="3"/>
    <n v="3"/>
    <n v="2000"/>
    <x v="9"/>
    <x v="2"/>
    <n v="1200"/>
    <s v="SanDisk"/>
    <n v="6000"/>
    <n v="3600"/>
    <n v="2400"/>
    <n v="0.4"/>
  </r>
  <r>
    <s v="O0778"/>
    <x v="4"/>
    <s v="Customer 6"/>
    <x v="7"/>
    <x v="1"/>
    <n v="3"/>
    <n v="45000"/>
    <x v="8"/>
    <x v="0"/>
    <n v="35000"/>
    <s v="HP"/>
    <n v="135000"/>
    <n v="105000"/>
    <n v="30000"/>
    <n v="0.22222222222222221"/>
  </r>
  <r>
    <s v="O0779"/>
    <x v="159"/>
    <s v="Customer 88"/>
    <x v="3"/>
    <x v="9"/>
    <n v="4"/>
    <n v="80000"/>
    <x v="8"/>
    <x v="0"/>
    <n v="65000"/>
    <s v="Samsung"/>
    <n v="320000"/>
    <n v="260000"/>
    <n v="60000"/>
    <n v="0.1875"/>
  </r>
  <r>
    <s v="O0780"/>
    <x v="9"/>
    <s v="Customer 13"/>
    <x v="0"/>
    <x v="3"/>
    <n v="1"/>
    <n v="2000"/>
    <x v="8"/>
    <x v="2"/>
    <n v="1200"/>
    <s v="SanDisk"/>
    <n v="2000"/>
    <n v="1200"/>
    <n v="800"/>
    <n v="0.4"/>
  </r>
  <r>
    <s v="O0781"/>
    <x v="277"/>
    <s v="Customer 80"/>
    <x v="4"/>
    <x v="8"/>
    <n v="3"/>
    <n v="18000"/>
    <x v="9"/>
    <x v="2"/>
    <n v="12000"/>
    <s v="Kingston"/>
    <n v="54000"/>
    <n v="36000"/>
    <n v="18000"/>
    <n v="0.33333333333333331"/>
  </r>
  <r>
    <s v="O0782"/>
    <x v="291"/>
    <s v="Customer 19"/>
    <x v="0"/>
    <x v="9"/>
    <n v="2"/>
    <n v="80000"/>
    <x v="7"/>
    <x v="0"/>
    <n v="65000"/>
    <s v="Samsung"/>
    <n v="160000"/>
    <n v="130000"/>
    <n v="30000"/>
    <n v="0.1875"/>
  </r>
  <r>
    <s v="O0783"/>
    <x v="321"/>
    <s v="Customer 41"/>
    <x v="4"/>
    <x v="7"/>
    <n v="5"/>
    <n v="5000"/>
    <x v="0"/>
    <x v="1"/>
    <n v="3500"/>
    <s v="Logitech"/>
    <n v="25000"/>
    <n v="17500"/>
    <n v="7500"/>
    <n v="0.3"/>
  </r>
  <r>
    <s v="O0784"/>
    <x v="300"/>
    <s v="Customer 28"/>
    <x v="2"/>
    <x v="8"/>
    <n v="5"/>
    <n v="18000"/>
    <x v="4"/>
    <x v="2"/>
    <n v="12000"/>
    <s v="Kingston"/>
    <n v="90000"/>
    <n v="60000"/>
    <n v="30000"/>
    <n v="0.33333333333333331"/>
  </r>
  <r>
    <s v="O0785"/>
    <x v="251"/>
    <s v="Customer 9"/>
    <x v="7"/>
    <x v="8"/>
    <n v="3"/>
    <n v="18000"/>
    <x v="9"/>
    <x v="2"/>
    <n v="12000"/>
    <s v="Kingston"/>
    <n v="54000"/>
    <n v="36000"/>
    <n v="18000"/>
    <n v="0.33333333333333331"/>
  </r>
  <r>
    <s v="O0786"/>
    <x v="174"/>
    <s v="Customer 52"/>
    <x v="1"/>
    <x v="0"/>
    <n v="2"/>
    <n v="150000"/>
    <x v="2"/>
    <x v="0"/>
    <n v="120000"/>
    <s v="Dell"/>
    <n v="300000"/>
    <n v="240000"/>
    <n v="60000"/>
    <n v="0.2"/>
  </r>
  <r>
    <s v="O0787"/>
    <x v="65"/>
    <s v="Customer 94"/>
    <x v="2"/>
    <x v="5"/>
    <n v="5"/>
    <n v="9500"/>
    <x v="3"/>
    <x v="1"/>
    <n v="7000"/>
    <s v="Logitech"/>
    <n v="47500"/>
    <n v="35000"/>
    <n v="12500"/>
    <n v="0.26315789473684209"/>
  </r>
  <r>
    <s v="O0788"/>
    <x v="322"/>
    <s v="Customer 6"/>
    <x v="2"/>
    <x v="6"/>
    <n v="3"/>
    <n v="7000"/>
    <x v="0"/>
    <x v="1"/>
    <n v="5000"/>
    <s v="Sony"/>
    <n v="21000"/>
    <n v="15000"/>
    <n v="6000"/>
    <n v="0.2857142857142857"/>
  </r>
  <r>
    <s v="O0789"/>
    <x v="205"/>
    <s v="Customer 27"/>
    <x v="4"/>
    <x v="9"/>
    <n v="5"/>
    <n v="80000"/>
    <x v="1"/>
    <x v="0"/>
    <n v="65000"/>
    <s v="Samsung"/>
    <n v="400000"/>
    <n v="325000"/>
    <n v="75000"/>
    <n v="0.1875"/>
  </r>
  <r>
    <s v="O0790"/>
    <x v="221"/>
    <s v="Customer 25"/>
    <x v="5"/>
    <x v="4"/>
    <n v="5"/>
    <n v="60000"/>
    <x v="4"/>
    <x v="0"/>
    <n v="50000"/>
    <s v="LG"/>
    <n v="300000"/>
    <n v="250000"/>
    <n v="50000"/>
    <n v="0.16666666666666666"/>
  </r>
  <r>
    <s v="O0791"/>
    <x v="0"/>
    <s v="Customer 13"/>
    <x v="4"/>
    <x v="5"/>
    <n v="2"/>
    <n v="9500"/>
    <x v="3"/>
    <x v="1"/>
    <n v="7000"/>
    <s v="Logitech"/>
    <n v="19000"/>
    <n v="14000"/>
    <n v="5000"/>
    <n v="0.26315789473684209"/>
  </r>
  <r>
    <s v="O0792"/>
    <x v="323"/>
    <s v="Customer 28"/>
    <x v="7"/>
    <x v="2"/>
    <n v="2"/>
    <n v="2500"/>
    <x v="2"/>
    <x v="1"/>
    <n v="1500"/>
    <s v="Logitech"/>
    <n v="5000"/>
    <n v="3000"/>
    <n v="2000"/>
    <n v="0.4"/>
  </r>
  <r>
    <s v="O0793"/>
    <x v="248"/>
    <s v="Customer 15"/>
    <x v="1"/>
    <x v="1"/>
    <n v="5"/>
    <n v="45000"/>
    <x v="3"/>
    <x v="0"/>
    <n v="35000"/>
    <s v="HP"/>
    <n v="225000"/>
    <n v="175000"/>
    <n v="50000"/>
    <n v="0.22222222222222221"/>
  </r>
  <r>
    <s v="O0794"/>
    <x v="243"/>
    <s v="Customer 90"/>
    <x v="3"/>
    <x v="4"/>
    <n v="1"/>
    <n v="60000"/>
    <x v="2"/>
    <x v="0"/>
    <n v="50000"/>
    <s v="LG"/>
    <n v="60000"/>
    <n v="50000"/>
    <n v="10000"/>
    <n v="0.16666666666666666"/>
  </r>
  <r>
    <s v="O0795"/>
    <x v="17"/>
    <s v="Customer 28"/>
    <x v="5"/>
    <x v="4"/>
    <n v="2"/>
    <n v="60000"/>
    <x v="6"/>
    <x v="0"/>
    <n v="50000"/>
    <s v="LG"/>
    <n v="120000"/>
    <n v="100000"/>
    <n v="20000"/>
    <n v="0.16666666666666666"/>
  </r>
  <r>
    <s v="O0796"/>
    <x v="324"/>
    <s v="Customer 100"/>
    <x v="1"/>
    <x v="8"/>
    <n v="1"/>
    <n v="18000"/>
    <x v="4"/>
    <x v="2"/>
    <n v="12000"/>
    <s v="Kingston"/>
    <n v="18000"/>
    <n v="12000"/>
    <n v="6000"/>
    <n v="0.33333333333333331"/>
  </r>
  <r>
    <s v="O0797"/>
    <x v="325"/>
    <s v="Customer 6"/>
    <x v="4"/>
    <x v="3"/>
    <n v="3"/>
    <n v="2000"/>
    <x v="6"/>
    <x v="2"/>
    <n v="1200"/>
    <s v="SanDisk"/>
    <n v="6000"/>
    <n v="3600"/>
    <n v="2400"/>
    <n v="0.4"/>
  </r>
  <r>
    <s v="O0798"/>
    <x v="308"/>
    <s v="Customer 80"/>
    <x v="5"/>
    <x v="1"/>
    <n v="4"/>
    <n v="45000"/>
    <x v="1"/>
    <x v="0"/>
    <n v="35000"/>
    <s v="HP"/>
    <n v="180000"/>
    <n v="140000"/>
    <n v="40000"/>
    <n v="0.22222222222222221"/>
  </r>
  <r>
    <s v="O0799"/>
    <x v="269"/>
    <s v="Customer 78"/>
    <x v="6"/>
    <x v="3"/>
    <n v="2"/>
    <n v="2000"/>
    <x v="4"/>
    <x v="2"/>
    <n v="1200"/>
    <s v="SanDisk"/>
    <n v="4000"/>
    <n v="2400"/>
    <n v="1600"/>
    <n v="0.4"/>
  </r>
  <r>
    <s v="O0800"/>
    <x v="87"/>
    <s v="Customer 6"/>
    <x v="1"/>
    <x v="8"/>
    <n v="4"/>
    <n v="18000"/>
    <x v="2"/>
    <x v="2"/>
    <n v="12000"/>
    <s v="Kingston"/>
    <n v="72000"/>
    <n v="48000"/>
    <n v="24000"/>
    <n v="0.33333333333333331"/>
  </r>
  <r>
    <s v="O0801"/>
    <x v="326"/>
    <s v="Customer 87"/>
    <x v="2"/>
    <x v="4"/>
    <n v="2"/>
    <n v="60000"/>
    <x v="0"/>
    <x v="0"/>
    <n v="50000"/>
    <s v="LG"/>
    <n v="120000"/>
    <n v="100000"/>
    <n v="20000"/>
    <n v="0.16666666666666666"/>
  </r>
  <r>
    <s v="O0802"/>
    <x v="179"/>
    <s v="Customer 8"/>
    <x v="7"/>
    <x v="4"/>
    <n v="3"/>
    <n v="60000"/>
    <x v="1"/>
    <x v="0"/>
    <n v="50000"/>
    <s v="LG"/>
    <n v="180000"/>
    <n v="150000"/>
    <n v="30000"/>
    <n v="0.16666666666666666"/>
  </r>
  <r>
    <s v="O0803"/>
    <x v="246"/>
    <s v="Customer 2"/>
    <x v="4"/>
    <x v="3"/>
    <n v="3"/>
    <n v="2000"/>
    <x v="3"/>
    <x v="2"/>
    <n v="1200"/>
    <s v="SanDisk"/>
    <n v="6000"/>
    <n v="3600"/>
    <n v="2400"/>
    <n v="0.4"/>
  </r>
  <r>
    <s v="O0804"/>
    <x v="102"/>
    <s v="Customer 66"/>
    <x v="3"/>
    <x v="2"/>
    <n v="4"/>
    <n v="2500"/>
    <x v="5"/>
    <x v="1"/>
    <n v="1500"/>
    <s v="Logitech"/>
    <n v="10000"/>
    <n v="6000"/>
    <n v="4000"/>
    <n v="0.4"/>
  </r>
  <r>
    <s v="O0805"/>
    <x v="58"/>
    <s v="Customer 28"/>
    <x v="2"/>
    <x v="5"/>
    <n v="2"/>
    <n v="9500"/>
    <x v="8"/>
    <x v="1"/>
    <n v="7000"/>
    <s v="Logitech"/>
    <n v="19000"/>
    <n v="14000"/>
    <n v="5000"/>
    <n v="0.26315789473684209"/>
  </r>
  <r>
    <s v="O0806"/>
    <x v="20"/>
    <s v="Customer 80"/>
    <x v="3"/>
    <x v="1"/>
    <n v="3"/>
    <n v="45000"/>
    <x v="1"/>
    <x v="0"/>
    <n v="35000"/>
    <s v="HP"/>
    <n v="135000"/>
    <n v="105000"/>
    <n v="30000"/>
    <n v="0.22222222222222221"/>
  </r>
  <r>
    <s v="O0807"/>
    <x v="26"/>
    <s v="Customer 84"/>
    <x v="2"/>
    <x v="1"/>
    <n v="5"/>
    <n v="45000"/>
    <x v="6"/>
    <x v="0"/>
    <n v="35000"/>
    <s v="HP"/>
    <n v="225000"/>
    <n v="175000"/>
    <n v="50000"/>
    <n v="0.22222222222222221"/>
  </r>
  <r>
    <s v="O0808"/>
    <x v="308"/>
    <s v="Customer 70"/>
    <x v="4"/>
    <x v="5"/>
    <n v="3"/>
    <n v="9500"/>
    <x v="9"/>
    <x v="1"/>
    <n v="7000"/>
    <s v="Logitech"/>
    <n v="28500"/>
    <n v="21000"/>
    <n v="7500"/>
    <n v="0.26315789473684209"/>
  </r>
  <r>
    <s v="O0809"/>
    <x v="190"/>
    <s v="Customer 67"/>
    <x v="0"/>
    <x v="9"/>
    <n v="1"/>
    <n v="80000"/>
    <x v="0"/>
    <x v="0"/>
    <n v="65000"/>
    <s v="Samsung"/>
    <n v="80000"/>
    <n v="65000"/>
    <n v="15000"/>
    <n v="0.1875"/>
  </r>
  <r>
    <s v="O0810"/>
    <x v="247"/>
    <s v="Customer 13"/>
    <x v="2"/>
    <x v="0"/>
    <n v="4"/>
    <n v="150000"/>
    <x v="5"/>
    <x v="0"/>
    <n v="120000"/>
    <s v="Dell"/>
    <n v="600000"/>
    <n v="480000"/>
    <n v="120000"/>
    <n v="0.2"/>
  </r>
  <r>
    <s v="O0811"/>
    <x v="265"/>
    <s v="Customer 20"/>
    <x v="4"/>
    <x v="3"/>
    <n v="3"/>
    <n v="2000"/>
    <x v="8"/>
    <x v="2"/>
    <n v="1200"/>
    <s v="SanDisk"/>
    <n v="6000"/>
    <n v="3600"/>
    <n v="2400"/>
    <n v="0.4"/>
  </r>
  <r>
    <s v="O0812"/>
    <x v="270"/>
    <s v="Customer 68"/>
    <x v="6"/>
    <x v="9"/>
    <n v="4"/>
    <n v="80000"/>
    <x v="4"/>
    <x v="0"/>
    <n v="65000"/>
    <s v="Samsung"/>
    <n v="320000"/>
    <n v="260000"/>
    <n v="60000"/>
    <n v="0.1875"/>
  </r>
  <r>
    <s v="O0813"/>
    <x v="240"/>
    <s v="Customer 42"/>
    <x v="2"/>
    <x v="9"/>
    <n v="1"/>
    <n v="80000"/>
    <x v="0"/>
    <x v="0"/>
    <n v="65000"/>
    <s v="Samsung"/>
    <n v="80000"/>
    <n v="65000"/>
    <n v="15000"/>
    <n v="0.1875"/>
  </r>
  <r>
    <s v="O0814"/>
    <x v="83"/>
    <s v="Customer 47"/>
    <x v="0"/>
    <x v="3"/>
    <n v="1"/>
    <n v="2000"/>
    <x v="1"/>
    <x v="2"/>
    <n v="1200"/>
    <s v="SanDisk"/>
    <n v="2000"/>
    <n v="1200"/>
    <n v="800"/>
    <n v="0.4"/>
  </r>
  <r>
    <s v="O0815"/>
    <x v="125"/>
    <s v="Customer 99"/>
    <x v="0"/>
    <x v="2"/>
    <n v="4"/>
    <n v="2500"/>
    <x v="5"/>
    <x v="1"/>
    <n v="1500"/>
    <s v="Logitech"/>
    <n v="10000"/>
    <n v="6000"/>
    <n v="4000"/>
    <n v="0.4"/>
  </r>
  <r>
    <s v="O0816"/>
    <x v="72"/>
    <s v="Customer 62"/>
    <x v="4"/>
    <x v="0"/>
    <n v="2"/>
    <n v="150000"/>
    <x v="9"/>
    <x v="0"/>
    <n v="120000"/>
    <s v="Dell"/>
    <n v="300000"/>
    <n v="240000"/>
    <n v="60000"/>
    <n v="0.2"/>
  </r>
  <r>
    <s v="O0817"/>
    <x v="17"/>
    <s v="Customer 18"/>
    <x v="0"/>
    <x v="7"/>
    <n v="4"/>
    <n v="5000"/>
    <x v="1"/>
    <x v="1"/>
    <n v="3500"/>
    <s v="Logitech"/>
    <n v="20000"/>
    <n v="14000"/>
    <n v="6000"/>
    <n v="0.3"/>
  </r>
  <r>
    <s v="O0818"/>
    <x v="280"/>
    <s v="Customer 2"/>
    <x v="2"/>
    <x v="7"/>
    <n v="4"/>
    <n v="5000"/>
    <x v="1"/>
    <x v="1"/>
    <n v="3500"/>
    <s v="Logitech"/>
    <n v="20000"/>
    <n v="14000"/>
    <n v="6000"/>
    <n v="0.3"/>
  </r>
  <r>
    <s v="O0819"/>
    <x v="95"/>
    <s v="Customer 31"/>
    <x v="0"/>
    <x v="6"/>
    <n v="5"/>
    <n v="7000"/>
    <x v="8"/>
    <x v="1"/>
    <n v="5000"/>
    <s v="Sony"/>
    <n v="35000"/>
    <n v="25000"/>
    <n v="10000"/>
    <n v="0.2857142857142857"/>
  </r>
  <r>
    <s v="O0820"/>
    <x v="232"/>
    <s v="Customer 76"/>
    <x v="3"/>
    <x v="6"/>
    <n v="2"/>
    <n v="7000"/>
    <x v="9"/>
    <x v="1"/>
    <n v="5000"/>
    <s v="Sony"/>
    <n v="14000"/>
    <n v="10000"/>
    <n v="4000"/>
    <n v="0.2857142857142857"/>
  </r>
  <r>
    <s v="O0821"/>
    <x v="317"/>
    <s v="Customer 62"/>
    <x v="4"/>
    <x v="2"/>
    <n v="4"/>
    <n v="2500"/>
    <x v="7"/>
    <x v="1"/>
    <n v="1500"/>
    <s v="Logitech"/>
    <n v="10000"/>
    <n v="6000"/>
    <n v="4000"/>
    <n v="0.4"/>
  </r>
  <r>
    <s v="O0822"/>
    <x v="258"/>
    <s v="Customer 22"/>
    <x v="2"/>
    <x v="0"/>
    <n v="5"/>
    <n v="150000"/>
    <x v="7"/>
    <x v="0"/>
    <n v="120000"/>
    <s v="Dell"/>
    <n v="750000"/>
    <n v="600000"/>
    <n v="150000"/>
    <n v="0.2"/>
  </r>
  <r>
    <s v="O0823"/>
    <x v="53"/>
    <s v="Customer 72"/>
    <x v="3"/>
    <x v="6"/>
    <n v="4"/>
    <n v="7000"/>
    <x v="4"/>
    <x v="1"/>
    <n v="5000"/>
    <s v="Sony"/>
    <n v="28000"/>
    <n v="20000"/>
    <n v="8000"/>
    <n v="0.2857142857142857"/>
  </r>
  <r>
    <s v="O0824"/>
    <x v="219"/>
    <s v="Customer 64"/>
    <x v="1"/>
    <x v="1"/>
    <n v="4"/>
    <n v="45000"/>
    <x v="6"/>
    <x v="0"/>
    <n v="35000"/>
    <s v="HP"/>
    <n v="180000"/>
    <n v="140000"/>
    <n v="40000"/>
    <n v="0.22222222222222221"/>
  </r>
  <r>
    <s v="O0825"/>
    <x v="208"/>
    <s v="Customer 91"/>
    <x v="1"/>
    <x v="9"/>
    <n v="5"/>
    <n v="80000"/>
    <x v="3"/>
    <x v="0"/>
    <n v="65000"/>
    <s v="Samsung"/>
    <n v="400000"/>
    <n v="325000"/>
    <n v="75000"/>
    <n v="0.1875"/>
  </r>
  <r>
    <s v="O0826"/>
    <x v="214"/>
    <s v="Customer 10"/>
    <x v="1"/>
    <x v="6"/>
    <n v="1"/>
    <n v="7000"/>
    <x v="9"/>
    <x v="1"/>
    <n v="5000"/>
    <s v="Sony"/>
    <n v="7000"/>
    <n v="5000"/>
    <n v="2000"/>
    <n v="0.2857142857142857"/>
  </r>
  <r>
    <s v="O0827"/>
    <x v="81"/>
    <s v="Customer 20"/>
    <x v="4"/>
    <x v="6"/>
    <n v="5"/>
    <n v="7000"/>
    <x v="0"/>
    <x v="1"/>
    <n v="5000"/>
    <s v="Sony"/>
    <n v="35000"/>
    <n v="25000"/>
    <n v="10000"/>
    <n v="0.2857142857142857"/>
  </r>
  <r>
    <s v="O0828"/>
    <x v="33"/>
    <s v="Customer 9"/>
    <x v="1"/>
    <x v="6"/>
    <n v="3"/>
    <n v="7000"/>
    <x v="3"/>
    <x v="1"/>
    <n v="5000"/>
    <s v="Sony"/>
    <n v="21000"/>
    <n v="15000"/>
    <n v="6000"/>
    <n v="0.2857142857142857"/>
  </r>
  <r>
    <s v="O0829"/>
    <x v="18"/>
    <s v="Customer 18"/>
    <x v="7"/>
    <x v="9"/>
    <n v="3"/>
    <n v="80000"/>
    <x v="8"/>
    <x v="0"/>
    <n v="65000"/>
    <s v="Samsung"/>
    <n v="240000"/>
    <n v="195000"/>
    <n v="45000"/>
    <n v="0.1875"/>
  </r>
  <r>
    <s v="O0830"/>
    <x v="252"/>
    <s v="Customer 74"/>
    <x v="2"/>
    <x v="5"/>
    <n v="1"/>
    <n v="9500"/>
    <x v="3"/>
    <x v="1"/>
    <n v="7000"/>
    <s v="Logitech"/>
    <n v="9500"/>
    <n v="7000"/>
    <n v="2500"/>
    <n v="0.26315789473684209"/>
  </r>
  <r>
    <s v="O0831"/>
    <x v="126"/>
    <s v="Customer 39"/>
    <x v="1"/>
    <x v="9"/>
    <n v="3"/>
    <n v="80000"/>
    <x v="4"/>
    <x v="0"/>
    <n v="65000"/>
    <s v="Samsung"/>
    <n v="240000"/>
    <n v="195000"/>
    <n v="45000"/>
    <n v="0.1875"/>
  </r>
  <r>
    <s v="O0832"/>
    <x v="62"/>
    <s v="Customer 86"/>
    <x v="7"/>
    <x v="9"/>
    <n v="2"/>
    <n v="80000"/>
    <x v="3"/>
    <x v="0"/>
    <n v="65000"/>
    <s v="Samsung"/>
    <n v="160000"/>
    <n v="130000"/>
    <n v="30000"/>
    <n v="0.1875"/>
  </r>
  <r>
    <s v="O0833"/>
    <x v="137"/>
    <s v="Customer 80"/>
    <x v="4"/>
    <x v="6"/>
    <n v="4"/>
    <n v="7000"/>
    <x v="0"/>
    <x v="1"/>
    <n v="5000"/>
    <s v="Sony"/>
    <n v="28000"/>
    <n v="20000"/>
    <n v="8000"/>
    <n v="0.2857142857142857"/>
  </r>
  <r>
    <s v="O0834"/>
    <x v="200"/>
    <s v="Customer 76"/>
    <x v="0"/>
    <x v="7"/>
    <n v="4"/>
    <n v="5000"/>
    <x v="3"/>
    <x v="1"/>
    <n v="3500"/>
    <s v="Logitech"/>
    <n v="20000"/>
    <n v="14000"/>
    <n v="6000"/>
    <n v="0.3"/>
  </r>
  <r>
    <s v="O0835"/>
    <x v="277"/>
    <s v="Customer 11"/>
    <x v="1"/>
    <x v="5"/>
    <n v="5"/>
    <n v="9500"/>
    <x v="2"/>
    <x v="1"/>
    <n v="7000"/>
    <s v="Logitech"/>
    <n v="47500"/>
    <n v="35000"/>
    <n v="12500"/>
    <n v="0.26315789473684209"/>
  </r>
  <r>
    <s v="O0836"/>
    <x v="201"/>
    <s v="Customer 26"/>
    <x v="5"/>
    <x v="5"/>
    <n v="2"/>
    <n v="9500"/>
    <x v="1"/>
    <x v="1"/>
    <n v="7000"/>
    <s v="Logitech"/>
    <n v="19000"/>
    <n v="14000"/>
    <n v="5000"/>
    <n v="0.26315789473684209"/>
  </r>
  <r>
    <s v="O0837"/>
    <x v="327"/>
    <s v="Customer 75"/>
    <x v="0"/>
    <x v="7"/>
    <n v="4"/>
    <n v="5000"/>
    <x v="7"/>
    <x v="1"/>
    <n v="3500"/>
    <s v="Logitech"/>
    <n v="20000"/>
    <n v="14000"/>
    <n v="6000"/>
    <n v="0.3"/>
  </r>
  <r>
    <s v="O0838"/>
    <x v="297"/>
    <s v="Customer 86"/>
    <x v="5"/>
    <x v="8"/>
    <n v="2"/>
    <n v="18000"/>
    <x v="0"/>
    <x v="2"/>
    <n v="12000"/>
    <s v="Kingston"/>
    <n v="36000"/>
    <n v="24000"/>
    <n v="12000"/>
    <n v="0.33333333333333331"/>
  </r>
  <r>
    <s v="O0839"/>
    <x v="9"/>
    <s v="Customer 48"/>
    <x v="3"/>
    <x v="0"/>
    <n v="5"/>
    <n v="150000"/>
    <x v="1"/>
    <x v="0"/>
    <n v="120000"/>
    <s v="Dell"/>
    <n v="750000"/>
    <n v="600000"/>
    <n v="150000"/>
    <n v="0.2"/>
  </r>
  <r>
    <s v="O0840"/>
    <x v="179"/>
    <s v="Customer 65"/>
    <x v="2"/>
    <x v="1"/>
    <n v="4"/>
    <n v="45000"/>
    <x v="5"/>
    <x v="0"/>
    <n v="35000"/>
    <s v="HP"/>
    <n v="180000"/>
    <n v="140000"/>
    <n v="40000"/>
    <n v="0.22222222222222221"/>
  </r>
  <r>
    <s v="O0841"/>
    <x v="274"/>
    <s v="Customer 67"/>
    <x v="6"/>
    <x v="7"/>
    <n v="5"/>
    <n v="5000"/>
    <x v="2"/>
    <x v="1"/>
    <n v="3500"/>
    <s v="Logitech"/>
    <n v="25000"/>
    <n v="17500"/>
    <n v="7500"/>
    <n v="0.3"/>
  </r>
  <r>
    <s v="O0842"/>
    <x v="261"/>
    <s v="Customer 83"/>
    <x v="5"/>
    <x v="4"/>
    <n v="5"/>
    <n v="60000"/>
    <x v="5"/>
    <x v="0"/>
    <n v="50000"/>
    <s v="LG"/>
    <n v="300000"/>
    <n v="250000"/>
    <n v="50000"/>
    <n v="0.16666666666666666"/>
  </r>
  <r>
    <s v="O0843"/>
    <x v="80"/>
    <s v="Customer 54"/>
    <x v="2"/>
    <x v="5"/>
    <n v="1"/>
    <n v="9500"/>
    <x v="2"/>
    <x v="1"/>
    <n v="7000"/>
    <s v="Logitech"/>
    <n v="9500"/>
    <n v="7000"/>
    <n v="2500"/>
    <n v="0.26315789473684209"/>
  </r>
  <r>
    <s v="O0844"/>
    <x v="74"/>
    <s v="Customer 52"/>
    <x v="0"/>
    <x v="0"/>
    <n v="2"/>
    <n v="150000"/>
    <x v="6"/>
    <x v="0"/>
    <n v="120000"/>
    <s v="Dell"/>
    <n v="300000"/>
    <n v="240000"/>
    <n v="60000"/>
    <n v="0.2"/>
  </r>
  <r>
    <s v="O0845"/>
    <x v="151"/>
    <s v="Customer 11"/>
    <x v="4"/>
    <x v="3"/>
    <n v="4"/>
    <n v="2000"/>
    <x v="1"/>
    <x v="2"/>
    <n v="1200"/>
    <s v="SanDisk"/>
    <n v="8000"/>
    <n v="4800"/>
    <n v="3200"/>
    <n v="0.4"/>
  </r>
  <r>
    <s v="O0846"/>
    <x v="298"/>
    <s v="Customer 25"/>
    <x v="5"/>
    <x v="1"/>
    <n v="4"/>
    <n v="45000"/>
    <x v="5"/>
    <x v="0"/>
    <n v="35000"/>
    <s v="HP"/>
    <n v="180000"/>
    <n v="140000"/>
    <n v="40000"/>
    <n v="0.22222222222222221"/>
  </r>
  <r>
    <s v="O0847"/>
    <x v="42"/>
    <s v="Customer 63"/>
    <x v="7"/>
    <x v="7"/>
    <n v="4"/>
    <n v="5000"/>
    <x v="1"/>
    <x v="1"/>
    <n v="3500"/>
    <s v="Logitech"/>
    <n v="20000"/>
    <n v="14000"/>
    <n v="6000"/>
    <n v="0.3"/>
  </r>
  <r>
    <s v="O0848"/>
    <x v="144"/>
    <s v="Customer 64"/>
    <x v="2"/>
    <x v="9"/>
    <n v="1"/>
    <n v="80000"/>
    <x v="3"/>
    <x v="0"/>
    <n v="65000"/>
    <s v="Samsung"/>
    <n v="80000"/>
    <n v="65000"/>
    <n v="15000"/>
    <n v="0.1875"/>
  </r>
  <r>
    <s v="O0849"/>
    <x v="225"/>
    <s v="Customer 28"/>
    <x v="3"/>
    <x v="7"/>
    <n v="2"/>
    <n v="5000"/>
    <x v="1"/>
    <x v="1"/>
    <n v="3500"/>
    <s v="Logitech"/>
    <n v="10000"/>
    <n v="7000"/>
    <n v="3000"/>
    <n v="0.3"/>
  </r>
  <r>
    <s v="O0850"/>
    <x v="207"/>
    <s v="Customer 75"/>
    <x v="7"/>
    <x v="2"/>
    <n v="1"/>
    <n v="2500"/>
    <x v="1"/>
    <x v="1"/>
    <n v="1500"/>
    <s v="Logitech"/>
    <n v="2500"/>
    <n v="1500"/>
    <n v="1000"/>
    <n v="0.4"/>
  </r>
  <r>
    <s v="O0851"/>
    <x v="287"/>
    <s v="Customer 85"/>
    <x v="0"/>
    <x v="8"/>
    <n v="4"/>
    <n v="18000"/>
    <x v="2"/>
    <x v="2"/>
    <n v="12000"/>
    <s v="Kingston"/>
    <n v="72000"/>
    <n v="48000"/>
    <n v="24000"/>
    <n v="0.33333333333333331"/>
  </r>
  <r>
    <s v="O0852"/>
    <x v="242"/>
    <s v="Customer 65"/>
    <x v="0"/>
    <x v="0"/>
    <n v="2"/>
    <n v="150000"/>
    <x v="8"/>
    <x v="0"/>
    <n v="120000"/>
    <s v="Dell"/>
    <n v="300000"/>
    <n v="240000"/>
    <n v="60000"/>
    <n v="0.2"/>
  </r>
  <r>
    <s v="O0853"/>
    <x v="236"/>
    <s v="Customer 87"/>
    <x v="7"/>
    <x v="2"/>
    <n v="3"/>
    <n v="2500"/>
    <x v="5"/>
    <x v="1"/>
    <n v="1500"/>
    <s v="Logitech"/>
    <n v="7500"/>
    <n v="4500"/>
    <n v="3000"/>
    <n v="0.4"/>
  </r>
  <r>
    <s v="O0854"/>
    <x v="252"/>
    <s v="Customer 84"/>
    <x v="5"/>
    <x v="1"/>
    <n v="5"/>
    <n v="45000"/>
    <x v="2"/>
    <x v="0"/>
    <n v="35000"/>
    <s v="HP"/>
    <n v="225000"/>
    <n v="175000"/>
    <n v="50000"/>
    <n v="0.22222222222222221"/>
  </r>
  <r>
    <s v="O0855"/>
    <x v="328"/>
    <s v="Customer 95"/>
    <x v="6"/>
    <x v="4"/>
    <n v="2"/>
    <n v="60000"/>
    <x v="7"/>
    <x v="0"/>
    <n v="50000"/>
    <s v="LG"/>
    <n v="120000"/>
    <n v="100000"/>
    <n v="20000"/>
    <n v="0.16666666666666666"/>
  </r>
  <r>
    <s v="O0856"/>
    <x v="93"/>
    <s v="Customer 12"/>
    <x v="3"/>
    <x v="1"/>
    <n v="4"/>
    <n v="45000"/>
    <x v="3"/>
    <x v="0"/>
    <n v="35000"/>
    <s v="HP"/>
    <n v="180000"/>
    <n v="140000"/>
    <n v="40000"/>
    <n v="0.22222222222222221"/>
  </r>
  <r>
    <s v="O0857"/>
    <x v="300"/>
    <s v="Customer 6"/>
    <x v="3"/>
    <x v="7"/>
    <n v="1"/>
    <n v="5000"/>
    <x v="5"/>
    <x v="1"/>
    <n v="3500"/>
    <s v="Logitech"/>
    <n v="5000"/>
    <n v="3500"/>
    <n v="1500"/>
    <n v="0.3"/>
  </r>
  <r>
    <s v="O0858"/>
    <x v="201"/>
    <s v="Customer 36"/>
    <x v="0"/>
    <x v="3"/>
    <n v="4"/>
    <n v="2000"/>
    <x v="0"/>
    <x v="2"/>
    <n v="1200"/>
    <s v="SanDisk"/>
    <n v="8000"/>
    <n v="4800"/>
    <n v="3200"/>
    <n v="0.4"/>
  </r>
  <r>
    <s v="O0859"/>
    <x v="329"/>
    <s v="Customer 22"/>
    <x v="0"/>
    <x v="1"/>
    <n v="1"/>
    <n v="45000"/>
    <x v="1"/>
    <x v="0"/>
    <n v="35000"/>
    <s v="HP"/>
    <n v="45000"/>
    <n v="35000"/>
    <n v="10000"/>
    <n v="0.22222222222222221"/>
  </r>
  <r>
    <s v="O0860"/>
    <x v="19"/>
    <s v="Customer 34"/>
    <x v="2"/>
    <x v="9"/>
    <n v="1"/>
    <n v="80000"/>
    <x v="5"/>
    <x v="0"/>
    <n v="65000"/>
    <s v="Samsung"/>
    <n v="80000"/>
    <n v="65000"/>
    <n v="15000"/>
    <n v="0.1875"/>
  </r>
  <r>
    <s v="O0861"/>
    <x v="247"/>
    <s v="Customer 25"/>
    <x v="4"/>
    <x v="4"/>
    <n v="3"/>
    <n v="60000"/>
    <x v="3"/>
    <x v="0"/>
    <n v="50000"/>
    <s v="LG"/>
    <n v="180000"/>
    <n v="150000"/>
    <n v="30000"/>
    <n v="0.16666666666666666"/>
  </r>
  <r>
    <s v="O0862"/>
    <x v="3"/>
    <s v="Customer 71"/>
    <x v="6"/>
    <x v="6"/>
    <n v="1"/>
    <n v="7000"/>
    <x v="3"/>
    <x v="1"/>
    <n v="5000"/>
    <s v="Sony"/>
    <n v="7000"/>
    <n v="5000"/>
    <n v="2000"/>
    <n v="0.2857142857142857"/>
  </r>
  <r>
    <s v="O0863"/>
    <x v="318"/>
    <s v="Customer 16"/>
    <x v="4"/>
    <x v="3"/>
    <n v="5"/>
    <n v="2000"/>
    <x v="5"/>
    <x v="2"/>
    <n v="1200"/>
    <s v="SanDisk"/>
    <n v="10000"/>
    <n v="6000"/>
    <n v="4000"/>
    <n v="0.4"/>
  </r>
  <r>
    <s v="O0864"/>
    <x v="67"/>
    <s v="Customer 66"/>
    <x v="0"/>
    <x v="7"/>
    <n v="4"/>
    <n v="5000"/>
    <x v="2"/>
    <x v="1"/>
    <n v="3500"/>
    <s v="Logitech"/>
    <n v="20000"/>
    <n v="14000"/>
    <n v="6000"/>
    <n v="0.3"/>
  </r>
  <r>
    <s v="O0865"/>
    <x v="63"/>
    <s v="Customer 94"/>
    <x v="3"/>
    <x v="5"/>
    <n v="3"/>
    <n v="9500"/>
    <x v="4"/>
    <x v="1"/>
    <n v="7000"/>
    <s v="Logitech"/>
    <n v="28500"/>
    <n v="21000"/>
    <n v="7500"/>
    <n v="0.26315789473684209"/>
  </r>
  <r>
    <s v="O0866"/>
    <x v="85"/>
    <s v="Customer 23"/>
    <x v="1"/>
    <x v="8"/>
    <n v="1"/>
    <n v="18000"/>
    <x v="0"/>
    <x v="2"/>
    <n v="12000"/>
    <s v="Kingston"/>
    <n v="18000"/>
    <n v="12000"/>
    <n v="6000"/>
    <n v="0.33333333333333331"/>
  </r>
  <r>
    <s v="O0867"/>
    <x v="75"/>
    <s v="Customer 2"/>
    <x v="1"/>
    <x v="8"/>
    <n v="1"/>
    <n v="18000"/>
    <x v="2"/>
    <x v="2"/>
    <n v="12000"/>
    <s v="Kingston"/>
    <n v="18000"/>
    <n v="12000"/>
    <n v="6000"/>
    <n v="0.33333333333333331"/>
  </r>
  <r>
    <s v="O0868"/>
    <x v="226"/>
    <s v="Customer 30"/>
    <x v="7"/>
    <x v="0"/>
    <n v="5"/>
    <n v="150000"/>
    <x v="9"/>
    <x v="0"/>
    <n v="120000"/>
    <s v="Dell"/>
    <n v="750000"/>
    <n v="600000"/>
    <n v="150000"/>
    <n v="0.2"/>
  </r>
  <r>
    <s v="O0869"/>
    <x v="232"/>
    <s v="Customer 85"/>
    <x v="5"/>
    <x v="9"/>
    <n v="4"/>
    <n v="80000"/>
    <x v="5"/>
    <x v="0"/>
    <n v="65000"/>
    <s v="Samsung"/>
    <n v="320000"/>
    <n v="260000"/>
    <n v="60000"/>
    <n v="0.1875"/>
  </r>
  <r>
    <s v="O0870"/>
    <x v="208"/>
    <s v="Customer 38"/>
    <x v="2"/>
    <x v="1"/>
    <n v="1"/>
    <n v="45000"/>
    <x v="6"/>
    <x v="0"/>
    <n v="35000"/>
    <s v="HP"/>
    <n v="45000"/>
    <n v="35000"/>
    <n v="10000"/>
    <n v="0.22222222222222221"/>
  </r>
  <r>
    <s v="O0871"/>
    <x v="330"/>
    <s v="Customer 20"/>
    <x v="6"/>
    <x v="9"/>
    <n v="2"/>
    <n v="80000"/>
    <x v="5"/>
    <x v="0"/>
    <n v="65000"/>
    <s v="Samsung"/>
    <n v="160000"/>
    <n v="130000"/>
    <n v="30000"/>
    <n v="0.1875"/>
  </r>
  <r>
    <s v="O0872"/>
    <x v="159"/>
    <s v="Customer 72"/>
    <x v="4"/>
    <x v="0"/>
    <n v="3"/>
    <n v="150000"/>
    <x v="0"/>
    <x v="0"/>
    <n v="120000"/>
    <s v="Dell"/>
    <n v="450000"/>
    <n v="360000"/>
    <n v="90000"/>
    <n v="0.2"/>
  </r>
  <r>
    <s v="O0873"/>
    <x v="207"/>
    <s v="Customer 36"/>
    <x v="2"/>
    <x v="1"/>
    <n v="3"/>
    <n v="45000"/>
    <x v="2"/>
    <x v="0"/>
    <n v="35000"/>
    <s v="HP"/>
    <n v="135000"/>
    <n v="105000"/>
    <n v="30000"/>
    <n v="0.22222222222222221"/>
  </r>
  <r>
    <s v="O0874"/>
    <x v="39"/>
    <s v="Customer 72"/>
    <x v="7"/>
    <x v="6"/>
    <n v="2"/>
    <n v="7000"/>
    <x v="1"/>
    <x v="1"/>
    <n v="5000"/>
    <s v="Sony"/>
    <n v="14000"/>
    <n v="10000"/>
    <n v="4000"/>
    <n v="0.2857142857142857"/>
  </r>
  <r>
    <s v="O0875"/>
    <x v="233"/>
    <s v="Customer 77"/>
    <x v="7"/>
    <x v="3"/>
    <n v="4"/>
    <n v="2000"/>
    <x v="9"/>
    <x v="2"/>
    <n v="1200"/>
    <s v="SanDisk"/>
    <n v="8000"/>
    <n v="4800"/>
    <n v="3200"/>
    <n v="0.4"/>
  </r>
  <r>
    <s v="O0876"/>
    <x v="263"/>
    <s v="Customer 91"/>
    <x v="4"/>
    <x v="9"/>
    <n v="5"/>
    <n v="80000"/>
    <x v="1"/>
    <x v="0"/>
    <n v="65000"/>
    <s v="Samsung"/>
    <n v="400000"/>
    <n v="325000"/>
    <n v="75000"/>
    <n v="0.1875"/>
  </r>
  <r>
    <s v="O0877"/>
    <x v="260"/>
    <s v="Customer 46"/>
    <x v="4"/>
    <x v="5"/>
    <n v="1"/>
    <n v="9500"/>
    <x v="1"/>
    <x v="1"/>
    <n v="7000"/>
    <s v="Logitech"/>
    <n v="9500"/>
    <n v="7000"/>
    <n v="2500"/>
    <n v="0.26315789473684209"/>
  </r>
  <r>
    <s v="O0878"/>
    <x v="224"/>
    <s v="Customer 7"/>
    <x v="6"/>
    <x v="8"/>
    <n v="2"/>
    <n v="18000"/>
    <x v="5"/>
    <x v="2"/>
    <n v="12000"/>
    <s v="Kingston"/>
    <n v="36000"/>
    <n v="24000"/>
    <n v="12000"/>
    <n v="0.33333333333333331"/>
  </r>
  <r>
    <s v="O0879"/>
    <x v="148"/>
    <s v="Customer 31"/>
    <x v="3"/>
    <x v="0"/>
    <n v="2"/>
    <n v="150000"/>
    <x v="3"/>
    <x v="0"/>
    <n v="120000"/>
    <s v="Dell"/>
    <n v="300000"/>
    <n v="240000"/>
    <n v="60000"/>
    <n v="0.2"/>
  </r>
  <r>
    <s v="O0880"/>
    <x v="116"/>
    <s v="Customer 39"/>
    <x v="6"/>
    <x v="9"/>
    <n v="5"/>
    <n v="80000"/>
    <x v="5"/>
    <x v="0"/>
    <n v="65000"/>
    <s v="Samsung"/>
    <n v="400000"/>
    <n v="325000"/>
    <n v="75000"/>
    <n v="0.1875"/>
  </r>
  <r>
    <s v="O0881"/>
    <x v="132"/>
    <s v="Customer 35"/>
    <x v="5"/>
    <x v="1"/>
    <n v="5"/>
    <n v="45000"/>
    <x v="7"/>
    <x v="0"/>
    <n v="35000"/>
    <s v="HP"/>
    <n v="225000"/>
    <n v="175000"/>
    <n v="50000"/>
    <n v="0.22222222222222221"/>
  </r>
  <r>
    <s v="O0882"/>
    <x v="71"/>
    <s v="Customer 70"/>
    <x v="7"/>
    <x v="5"/>
    <n v="5"/>
    <n v="9500"/>
    <x v="6"/>
    <x v="1"/>
    <n v="7000"/>
    <s v="Logitech"/>
    <n v="47500"/>
    <n v="35000"/>
    <n v="12500"/>
    <n v="0.26315789473684209"/>
  </r>
  <r>
    <s v="O0883"/>
    <x v="177"/>
    <s v="Customer 51"/>
    <x v="2"/>
    <x v="6"/>
    <n v="1"/>
    <n v="7000"/>
    <x v="4"/>
    <x v="1"/>
    <n v="5000"/>
    <s v="Sony"/>
    <n v="7000"/>
    <n v="5000"/>
    <n v="2000"/>
    <n v="0.2857142857142857"/>
  </r>
  <r>
    <s v="O0884"/>
    <x v="261"/>
    <s v="Customer 1"/>
    <x v="3"/>
    <x v="9"/>
    <n v="4"/>
    <n v="80000"/>
    <x v="0"/>
    <x v="0"/>
    <n v="65000"/>
    <s v="Samsung"/>
    <n v="320000"/>
    <n v="260000"/>
    <n v="60000"/>
    <n v="0.1875"/>
  </r>
  <r>
    <s v="O0885"/>
    <x v="190"/>
    <s v="Customer 66"/>
    <x v="4"/>
    <x v="2"/>
    <n v="5"/>
    <n v="2500"/>
    <x v="3"/>
    <x v="1"/>
    <n v="1500"/>
    <s v="Logitech"/>
    <n v="12500"/>
    <n v="7500"/>
    <n v="5000"/>
    <n v="0.4"/>
  </r>
  <r>
    <s v="O0886"/>
    <x v="109"/>
    <s v="Customer 81"/>
    <x v="7"/>
    <x v="2"/>
    <n v="1"/>
    <n v="2500"/>
    <x v="9"/>
    <x v="1"/>
    <n v="1500"/>
    <s v="Logitech"/>
    <n v="2500"/>
    <n v="1500"/>
    <n v="1000"/>
    <n v="0.4"/>
  </r>
  <r>
    <s v="O0887"/>
    <x v="24"/>
    <s v="Customer 18"/>
    <x v="1"/>
    <x v="4"/>
    <n v="3"/>
    <n v="60000"/>
    <x v="8"/>
    <x v="0"/>
    <n v="50000"/>
    <s v="LG"/>
    <n v="180000"/>
    <n v="150000"/>
    <n v="30000"/>
    <n v="0.16666666666666666"/>
  </r>
  <r>
    <s v="O0888"/>
    <x v="273"/>
    <s v="Customer 20"/>
    <x v="1"/>
    <x v="3"/>
    <n v="2"/>
    <n v="2000"/>
    <x v="0"/>
    <x v="2"/>
    <n v="1200"/>
    <s v="SanDisk"/>
    <n v="4000"/>
    <n v="2400"/>
    <n v="1600"/>
    <n v="0.4"/>
  </r>
  <r>
    <s v="O0889"/>
    <x v="84"/>
    <s v="Customer 75"/>
    <x v="7"/>
    <x v="0"/>
    <n v="4"/>
    <n v="150000"/>
    <x v="3"/>
    <x v="0"/>
    <n v="120000"/>
    <s v="Dell"/>
    <n v="600000"/>
    <n v="480000"/>
    <n v="120000"/>
    <n v="0.2"/>
  </r>
  <r>
    <s v="O0890"/>
    <x v="241"/>
    <s v="Customer 84"/>
    <x v="2"/>
    <x v="9"/>
    <n v="2"/>
    <n v="80000"/>
    <x v="7"/>
    <x v="0"/>
    <n v="65000"/>
    <s v="Samsung"/>
    <n v="160000"/>
    <n v="130000"/>
    <n v="30000"/>
    <n v="0.1875"/>
  </r>
  <r>
    <s v="O0891"/>
    <x v="311"/>
    <s v="Customer 1"/>
    <x v="2"/>
    <x v="4"/>
    <n v="4"/>
    <n v="60000"/>
    <x v="7"/>
    <x v="0"/>
    <n v="50000"/>
    <s v="LG"/>
    <n v="240000"/>
    <n v="200000"/>
    <n v="40000"/>
    <n v="0.16666666666666666"/>
  </r>
  <r>
    <s v="O0892"/>
    <x v="65"/>
    <s v="Customer 55"/>
    <x v="7"/>
    <x v="9"/>
    <n v="1"/>
    <n v="80000"/>
    <x v="7"/>
    <x v="0"/>
    <n v="65000"/>
    <s v="Samsung"/>
    <n v="80000"/>
    <n v="65000"/>
    <n v="15000"/>
    <n v="0.1875"/>
  </r>
  <r>
    <s v="O0893"/>
    <x v="19"/>
    <s v="Customer 14"/>
    <x v="0"/>
    <x v="1"/>
    <n v="4"/>
    <n v="45000"/>
    <x v="0"/>
    <x v="0"/>
    <n v="35000"/>
    <s v="HP"/>
    <n v="180000"/>
    <n v="140000"/>
    <n v="40000"/>
    <n v="0.22222222222222221"/>
  </r>
  <r>
    <s v="O0894"/>
    <x v="20"/>
    <s v="Customer 68"/>
    <x v="0"/>
    <x v="0"/>
    <n v="5"/>
    <n v="150000"/>
    <x v="0"/>
    <x v="0"/>
    <n v="120000"/>
    <s v="Dell"/>
    <n v="750000"/>
    <n v="600000"/>
    <n v="150000"/>
    <n v="0.2"/>
  </r>
  <r>
    <s v="O0895"/>
    <x v="83"/>
    <s v="Customer 39"/>
    <x v="6"/>
    <x v="6"/>
    <n v="3"/>
    <n v="7000"/>
    <x v="3"/>
    <x v="1"/>
    <n v="5000"/>
    <s v="Sony"/>
    <n v="21000"/>
    <n v="15000"/>
    <n v="6000"/>
    <n v="0.2857142857142857"/>
  </r>
  <r>
    <s v="O0896"/>
    <x v="331"/>
    <s v="Customer 71"/>
    <x v="0"/>
    <x v="1"/>
    <n v="2"/>
    <n v="45000"/>
    <x v="2"/>
    <x v="0"/>
    <n v="35000"/>
    <s v="HP"/>
    <n v="90000"/>
    <n v="70000"/>
    <n v="20000"/>
    <n v="0.22222222222222221"/>
  </r>
  <r>
    <s v="O0897"/>
    <x v="297"/>
    <s v="Customer 33"/>
    <x v="2"/>
    <x v="6"/>
    <n v="3"/>
    <n v="7000"/>
    <x v="7"/>
    <x v="1"/>
    <n v="5000"/>
    <s v="Sony"/>
    <n v="21000"/>
    <n v="15000"/>
    <n v="6000"/>
    <n v="0.2857142857142857"/>
  </r>
  <r>
    <s v="O0898"/>
    <x v="224"/>
    <s v="Customer 77"/>
    <x v="4"/>
    <x v="3"/>
    <n v="4"/>
    <n v="2000"/>
    <x v="0"/>
    <x v="2"/>
    <n v="1200"/>
    <s v="SanDisk"/>
    <n v="8000"/>
    <n v="4800"/>
    <n v="3200"/>
    <n v="0.4"/>
  </r>
  <r>
    <s v="O0899"/>
    <x v="112"/>
    <s v="Customer 57"/>
    <x v="5"/>
    <x v="4"/>
    <n v="2"/>
    <n v="60000"/>
    <x v="4"/>
    <x v="0"/>
    <n v="50000"/>
    <s v="LG"/>
    <n v="120000"/>
    <n v="100000"/>
    <n v="20000"/>
    <n v="0.16666666666666666"/>
  </r>
  <r>
    <s v="O0900"/>
    <x v="189"/>
    <s v="Customer 67"/>
    <x v="2"/>
    <x v="9"/>
    <n v="2"/>
    <n v="80000"/>
    <x v="6"/>
    <x v="0"/>
    <n v="65000"/>
    <s v="Samsung"/>
    <n v="160000"/>
    <n v="130000"/>
    <n v="30000"/>
    <n v="0.1875"/>
  </r>
  <r>
    <s v="O0901"/>
    <x v="48"/>
    <s v="Customer 73"/>
    <x v="3"/>
    <x v="2"/>
    <n v="4"/>
    <n v="2500"/>
    <x v="2"/>
    <x v="1"/>
    <n v="1500"/>
    <s v="Logitech"/>
    <n v="10000"/>
    <n v="6000"/>
    <n v="4000"/>
    <n v="0.4"/>
  </r>
  <r>
    <s v="O0902"/>
    <x v="16"/>
    <s v="Customer 70"/>
    <x v="7"/>
    <x v="3"/>
    <n v="1"/>
    <n v="2000"/>
    <x v="8"/>
    <x v="2"/>
    <n v="1200"/>
    <s v="SanDisk"/>
    <n v="2000"/>
    <n v="1200"/>
    <n v="800"/>
    <n v="0.4"/>
  </r>
  <r>
    <s v="O0903"/>
    <x v="313"/>
    <s v="Customer 18"/>
    <x v="1"/>
    <x v="2"/>
    <n v="4"/>
    <n v="2500"/>
    <x v="3"/>
    <x v="1"/>
    <n v="1500"/>
    <s v="Logitech"/>
    <n v="10000"/>
    <n v="6000"/>
    <n v="4000"/>
    <n v="0.4"/>
  </r>
  <r>
    <s v="O0904"/>
    <x v="332"/>
    <s v="Customer 77"/>
    <x v="1"/>
    <x v="5"/>
    <n v="5"/>
    <n v="9500"/>
    <x v="3"/>
    <x v="1"/>
    <n v="7000"/>
    <s v="Logitech"/>
    <n v="47500"/>
    <n v="35000"/>
    <n v="12500"/>
    <n v="0.26315789473684209"/>
  </r>
  <r>
    <s v="O0905"/>
    <x v="110"/>
    <s v="Customer 36"/>
    <x v="2"/>
    <x v="3"/>
    <n v="3"/>
    <n v="2000"/>
    <x v="0"/>
    <x v="2"/>
    <n v="1200"/>
    <s v="SanDisk"/>
    <n v="6000"/>
    <n v="3600"/>
    <n v="2400"/>
    <n v="0.4"/>
  </r>
  <r>
    <s v="O0906"/>
    <x v="124"/>
    <s v="Customer 61"/>
    <x v="7"/>
    <x v="0"/>
    <n v="2"/>
    <n v="150000"/>
    <x v="2"/>
    <x v="0"/>
    <n v="120000"/>
    <s v="Dell"/>
    <n v="300000"/>
    <n v="240000"/>
    <n v="60000"/>
    <n v="0.2"/>
  </r>
  <r>
    <s v="O0907"/>
    <x v="253"/>
    <s v="Customer 11"/>
    <x v="0"/>
    <x v="9"/>
    <n v="1"/>
    <n v="80000"/>
    <x v="8"/>
    <x v="0"/>
    <n v="65000"/>
    <s v="Samsung"/>
    <n v="80000"/>
    <n v="65000"/>
    <n v="15000"/>
    <n v="0.1875"/>
  </r>
  <r>
    <s v="O0908"/>
    <x v="204"/>
    <s v="Customer 69"/>
    <x v="4"/>
    <x v="4"/>
    <n v="1"/>
    <n v="60000"/>
    <x v="8"/>
    <x v="0"/>
    <n v="50000"/>
    <s v="LG"/>
    <n v="60000"/>
    <n v="50000"/>
    <n v="10000"/>
    <n v="0.16666666666666666"/>
  </r>
  <r>
    <s v="O0909"/>
    <x v="332"/>
    <s v="Customer 57"/>
    <x v="1"/>
    <x v="0"/>
    <n v="1"/>
    <n v="150000"/>
    <x v="3"/>
    <x v="0"/>
    <n v="120000"/>
    <s v="Dell"/>
    <n v="150000"/>
    <n v="120000"/>
    <n v="30000"/>
    <n v="0.2"/>
  </r>
  <r>
    <s v="O0910"/>
    <x v="333"/>
    <s v="Customer 50"/>
    <x v="6"/>
    <x v="9"/>
    <n v="5"/>
    <n v="80000"/>
    <x v="0"/>
    <x v="0"/>
    <n v="65000"/>
    <s v="Samsung"/>
    <n v="400000"/>
    <n v="325000"/>
    <n v="75000"/>
    <n v="0.1875"/>
  </r>
  <r>
    <s v="O0911"/>
    <x v="334"/>
    <s v="Customer 94"/>
    <x v="4"/>
    <x v="3"/>
    <n v="3"/>
    <n v="2000"/>
    <x v="1"/>
    <x v="2"/>
    <n v="1200"/>
    <s v="SanDisk"/>
    <n v="6000"/>
    <n v="3600"/>
    <n v="2400"/>
    <n v="0.4"/>
  </r>
  <r>
    <s v="O0912"/>
    <x v="284"/>
    <s v="Customer 81"/>
    <x v="6"/>
    <x v="6"/>
    <n v="1"/>
    <n v="7000"/>
    <x v="2"/>
    <x v="1"/>
    <n v="5000"/>
    <s v="Sony"/>
    <n v="7000"/>
    <n v="5000"/>
    <n v="2000"/>
    <n v="0.2857142857142857"/>
  </r>
  <r>
    <s v="O0913"/>
    <x v="313"/>
    <s v="Customer 1"/>
    <x v="4"/>
    <x v="8"/>
    <n v="5"/>
    <n v="18000"/>
    <x v="8"/>
    <x v="2"/>
    <n v="12000"/>
    <s v="Kingston"/>
    <n v="90000"/>
    <n v="60000"/>
    <n v="30000"/>
    <n v="0.33333333333333331"/>
  </r>
  <r>
    <s v="O0914"/>
    <x v="125"/>
    <s v="Customer 46"/>
    <x v="4"/>
    <x v="0"/>
    <n v="5"/>
    <n v="150000"/>
    <x v="0"/>
    <x v="0"/>
    <n v="120000"/>
    <s v="Dell"/>
    <n v="750000"/>
    <n v="600000"/>
    <n v="150000"/>
    <n v="0.2"/>
  </r>
  <r>
    <s v="O0915"/>
    <x v="205"/>
    <s v="Customer 43"/>
    <x v="5"/>
    <x v="0"/>
    <n v="5"/>
    <n v="150000"/>
    <x v="5"/>
    <x v="0"/>
    <n v="120000"/>
    <s v="Dell"/>
    <n v="750000"/>
    <n v="600000"/>
    <n v="150000"/>
    <n v="0.2"/>
  </r>
  <r>
    <s v="O0916"/>
    <x v="72"/>
    <s v="Customer 74"/>
    <x v="6"/>
    <x v="6"/>
    <n v="3"/>
    <n v="7000"/>
    <x v="0"/>
    <x v="1"/>
    <n v="5000"/>
    <s v="Sony"/>
    <n v="21000"/>
    <n v="15000"/>
    <n v="6000"/>
    <n v="0.2857142857142857"/>
  </r>
  <r>
    <s v="O0917"/>
    <x v="148"/>
    <s v="Customer 70"/>
    <x v="7"/>
    <x v="7"/>
    <n v="1"/>
    <n v="5000"/>
    <x v="4"/>
    <x v="1"/>
    <n v="3500"/>
    <s v="Logitech"/>
    <n v="5000"/>
    <n v="3500"/>
    <n v="1500"/>
    <n v="0.3"/>
  </r>
  <r>
    <s v="O0918"/>
    <x v="253"/>
    <s v="Customer 89"/>
    <x v="0"/>
    <x v="0"/>
    <n v="2"/>
    <n v="150000"/>
    <x v="8"/>
    <x v="0"/>
    <n v="120000"/>
    <s v="Dell"/>
    <n v="300000"/>
    <n v="240000"/>
    <n v="60000"/>
    <n v="0.2"/>
  </r>
  <r>
    <s v="O0919"/>
    <x v="251"/>
    <s v="Customer 58"/>
    <x v="7"/>
    <x v="3"/>
    <n v="2"/>
    <n v="2000"/>
    <x v="7"/>
    <x v="2"/>
    <n v="1200"/>
    <s v="SanDisk"/>
    <n v="4000"/>
    <n v="2400"/>
    <n v="1600"/>
    <n v="0.4"/>
  </r>
  <r>
    <s v="O0920"/>
    <x v="260"/>
    <s v="Customer 18"/>
    <x v="3"/>
    <x v="4"/>
    <n v="3"/>
    <n v="60000"/>
    <x v="3"/>
    <x v="0"/>
    <n v="50000"/>
    <s v="LG"/>
    <n v="180000"/>
    <n v="150000"/>
    <n v="30000"/>
    <n v="0.16666666666666666"/>
  </r>
  <r>
    <s v="O0921"/>
    <x v="67"/>
    <s v="Customer 44"/>
    <x v="0"/>
    <x v="5"/>
    <n v="5"/>
    <n v="9500"/>
    <x v="3"/>
    <x v="1"/>
    <n v="7000"/>
    <s v="Logitech"/>
    <n v="47500"/>
    <n v="35000"/>
    <n v="12500"/>
    <n v="0.26315789473684209"/>
  </r>
  <r>
    <s v="O0922"/>
    <x v="335"/>
    <s v="Customer 1"/>
    <x v="2"/>
    <x v="2"/>
    <n v="3"/>
    <n v="2500"/>
    <x v="7"/>
    <x v="1"/>
    <n v="1500"/>
    <s v="Logitech"/>
    <n v="7500"/>
    <n v="4500"/>
    <n v="3000"/>
    <n v="0.4"/>
  </r>
  <r>
    <s v="O0923"/>
    <x v="221"/>
    <s v="Customer 49"/>
    <x v="2"/>
    <x v="8"/>
    <n v="3"/>
    <n v="18000"/>
    <x v="1"/>
    <x v="2"/>
    <n v="12000"/>
    <s v="Kingston"/>
    <n v="54000"/>
    <n v="36000"/>
    <n v="18000"/>
    <n v="0.33333333333333331"/>
  </r>
  <r>
    <s v="O0924"/>
    <x v="97"/>
    <s v="Customer 78"/>
    <x v="2"/>
    <x v="3"/>
    <n v="2"/>
    <n v="2000"/>
    <x v="3"/>
    <x v="2"/>
    <n v="1200"/>
    <s v="SanDisk"/>
    <n v="4000"/>
    <n v="2400"/>
    <n v="1600"/>
    <n v="0.4"/>
  </r>
  <r>
    <s v="O0925"/>
    <x v="295"/>
    <s v="Customer 69"/>
    <x v="4"/>
    <x v="4"/>
    <n v="1"/>
    <n v="60000"/>
    <x v="8"/>
    <x v="0"/>
    <n v="50000"/>
    <s v="LG"/>
    <n v="60000"/>
    <n v="50000"/>
    <n v="10000"/>
    <n v="0.16666666666666666"/>
  </r>
  <r>
    <s v="O0926"/>
    <x v="291"/>
    <s v="Customer 35"/>
    <x v="5"/>
    <x v="6"/>
    <n v="5"/>
    <n v="7000"/>
    <x v="4"/>
    <x v="1"/>
    <n v="5000"/>
    <s v="Sony"/>
    <n v="35000"/>
    <n v="25000"/>
    <n v="10000"/>
    <n v="0.2857142857142857"/>
  </r>
  <r>
    <s v="O0927"/>
    <x v="291"/>
    <s v="Customer 19"/>
    <x v="6"/>
    <x v="1"/>
    <n v="4"/>
    <n v="45000"/>
    <x v="2"/>
    <x v="0"/>
    <n v="35000"/>
    <s v="HP"/>
    <n v="180000"/>
    <n v="140000"/>
    <n v="40000"/>
    <n v="0.22222222222222221"/>
  </r>
  <r>
    <s v="O0928"/>
    <x v="256"/>
    <s v="Customer 85"/>
    <x v="7"/>
    <x v="2"/>
    <n v="3"/>
    <n v="2500"/>
    <x v="7"/>
    <x v="1"/>
    <n v="1500"/>
    <s v="Logitech"/>
    <n v="7500"/>
    <n v="4500"/>
    <n v="3000"/>
    <n v="0.4"/>
  </r>
  <r>
    <s v="O0929"/>
    <x v="65"/>
    <s v="Customer 64"/>
    <x v="2"/>
    <x v="1"/>
    <n v="4"/>
    <n v="45000"/>
    <x v="3"/>
    <x v="0"/>
    <n v="35000"/>
    <s v="HP"/>
    <n v="180000"/>
    <n v="140000"/>
    <n v="40000"/>
    <n v="0.22222222222222221"/>
  </r>
  <r>
    <s v="O0930"/>
    <x v="316"/>
    <s v="Customer 36"/>
    <x v="5"/>
    <x v="8"/>
    <n v="5"/>
    <n v="18000"/>
    <x v="0"/>
    <x v="2"/>
    <n v="12000"/>
    <s v="Kingston"/>
    <n v="90000"/>
    <n v="60000"/>
    <n v="30000"/>
    <n v="0.33333333333333331"/>
  </r>
  <r>
    <s v="O0931"/>
    <x v="33"/>
    <s v="Customer 88"/>
    <x v="2"/>
    <x v="1"/>
    <n v="2"/>
    <n v="45000"/>
    <x v="9"/>
    <x v="0"/>
    <n v="35000"/>
    <s v="HP"/>
    <n v="90000"/>
    <n v="70000"/>
    <n v="20000"/>
    <n v="0.22222222222222221"/>
  </r>
  <r>
    <s v="O0932"/>
    <x v="161"/>
    <s v="Customer 65"/>
    <x v="2"/>
    <x v="1"/>
    <n v="4"/>
    <n v="45000"/>
    <x v="0"/>
    <x v="0"/>
    <n v="35000"/>
    <s v="HP"/>
    <n v="180000"/>
    <n v="140000"/>
    <n v="40000"/>
    <n v="0.22222222222222221"/>
  </r>
  <r>
    <s v="O0933"/>
    <x v="336"/>
    <s v="Customer 71"/>
    <x v="1"/>
    <x v="5"/>
    <n v="3"/>
    <n v="9500"/>
    <x v="0"/>
    <x v="1"/>
    <n v="7000"/>
    <s v="Logitech"/>
    <n v="28500"/>
    <n v="21000"/>
    <n v="7500"/>
    <n v="0.26315789473684209"/>
  </r>
  <r>
    <s v="O0934"/>
    <x v="229"/>
    <s v="Customer 97"/>
    <x v="5"/>
    <x v="9"/>
    <n v="2"/>
    <n v="80000"/>
    <x v="1"/>
    <x v="0"/>
    <n v="65000"/>
    <s v="Samsung"/>
    <n v="160000"/>
    <n v="130000"/>
    <n v="30000"/>
    <n v="0.1875"/>
  </r>
  <r>
    <s v="O0935"/>
    <x v="103"/>
    <s v="Customer 44"/>
    <x v="3"/>
    <x v="9"/>
    <n v="4"/>
    <n v="80000"/>
    <x v="1"/>
    <x v="0"/>
    <n v="65000"/>
    <s v="Samsung"/>
    <n v="320000"/>
    <n v="260000"/>
    <n v="60000"/>
    <n v="0.1875"/>
  </r>
  <r>
    <s v="O0936"/>
    <x v="56"/>
    <s v="Customer 32"/>
    <x v="4"/>
    <x v="9"/>
    <n v="2"/>
    <n v="80000"/>
    <x v="0"/>
    <x v="0"/>
    <n v="65000"/>
    <s v="Samsung"/>
    <n v="160000"/>
    <n v="130000"/>
    <n v="30000"/>
    <n v="0.1875"/>
  </r>
  <r>
    <s v="O0937"/>
    <x v="49"/>
    <s v="Customer 36"/>
    <x v="5"/>
    <x v="9"/>
    <n v="3"/>
    <n v="80000"/>
    <x v="5"/>
    <x v="0"/>
    <n v="65000"/>
    <s v="Samsung"/>
    <n v="240000"/>
    <n v="195000"/>
    <n v="45000"/>
    <n v="0.1875"/>
  </r>
  <r>
    <s v="O0938"/>
    <x v="29"/>
    <s v="Customer 48"/>
    <x v="5"/>
    <x v="2"/>
    <n v="5"/>
    <n v="2500"/>
    <x v="5"/>
    <x v="1"/>
    <n v="1500"/>
    <s v="Logitech"/>
    <n v="12500"/>
    <n v="7500"/>
    <n v="5000"/>
    <n v="0.4"/>
  </r>
  <r>
    <s v="O0939"/>
    <x v="130"/>
    <s v="Customer 11"/>
    <x v="7"/>
    <x v="4"/>
    <n v="3"/>
    <n v="60000"/>
    <x v="7"/>
    <x v="0"/>
    <n v="50000"/>
    <s v="LG"/>
    <n v="180000"/>
    <n v="150000"/>
    <n v="30000"/>
    <n v="0.16666666666666666"/>
  </r>
  <r>
    <s v="O0940"/>
    <x v="218"/>
    <s v="Customer 81"/>
    <x v="6"/>
    <x v="5"/>
    <n v="5"/>
    <n v="9500"/>
    <x v="1"/>
    <x v="1"/>
    <n v="7000"/>
    <s v="Logitech"/>
    <n v="47500"/>
    <n v="35000"/>
    <n v="12500"/>
    <n v="0.26315789473684209"/>
  </r>
  <r>
    <s v="O0941"/>
    <x v="210"/>
    <s v="Customer 16"/>
    <x v="3"/>
    <x v="6"/>
    <n v="3"/>
    <n v="7000"/>
    <x v="1"/>
    <x v="1"/>
    <n v="5000"/>
    <s v="Sony"/>
    <n v="21000"/>
    <n v="15000"/>
    <n v="6000"/>
    <n v="0.2857142857142857"/>
  </r>
  <r>
    <s v="O0942"/>
    <x v="293"/>
    <s v="Customer 77"/>
    <x v="1"/>
    <x v="7"/>
    <n v="4"/>
    <n v="5000"/>
    <x v="6"/>
    <x v="1"/>
    <n v="3500"/>
    <s v="Logitech"/>
    <n v="20000"/>
    <n v="14000"/>
    <n v="6000"/>
    <n v="0.3"/>
  </r>
  <r>
    <s v="O0943"/>
    <x v="81"/>
    <s v="Customer 27"/>
    <x v="0"/>
    <x v="4"/>
    <n v="2"/>
    <n v="60000"/>
    <x v="4"/>
    <x v="0"/>
    <n v="50000"/>
    <s v="LG"/>
    <n v="120000"/>
    <n v="100000"/>
    <n v="20000"/>
    <n v="0.16666666666666666"/>
  </r>
  <r>
    <s v="O0944"/>
    <x v="26"/>
    <s v="Customer 20"/>
    <x v="3"/>
    <x v="9"/>
    <n v="1"/>
    <n v="80000"/>
    <x v="2"/>
    <x v="0"/>
    <n v="65000"/>
    <s v="Samsung"/>
    <n v="80000"/>
    <n v="65000"/>
    <n v="15000"/>
    <n v="0.1875"/>
  </r>
  <r>
    <s v="O0945"/>
    <x v="248"/>
    <s v="Customer 91"/>
    <x v="5"/>
    <x v="9"/>
    <n v="2"/>
    <n v="80000"/>
    <x v="6"/>
    <x v="0"/>
    <n v="65000"/>
    <s v="Samsung"/>
    <n v="160000"/>
    <n v="130000"/>
    <n v="30000"/>
    <n v="0.1875"/>
  </r>
  <r>
    <s v="O0946"/>
    <x v="337"/>
    <s v="Customer 43"/>
    <x v="0"/>
    <x v="0"/>
    <n v="1"/>
    <n v="150000"/>
    <x v="9"/>
    <x v="0"/>
    <n v="120000"/>
    <s v="Dell"/>
    <n v="150000"/>
    <n v="120000"/>
    <n v="30000"/>
    <n v="0.2"/>
  </r>
  <r>
    <s v="O0947"/>
    <x v="103"/>
    <s v="Customer 39"/>
    <x v="3"/>
    <x v="7"/>
    <n v="4"/>
    <n v="5000"/>
    <x v="8"/>
    <x v="1"/>
    <n v="3500"/>
    <s v="Logitech"/>
    <n v="20000"/>
    <n v="14000"/>
    <n v="6000"/>
    <n v="0.3"/>
  </r>
  <r>
    <s v="O0948"/>
    <x v="80"/>
    <s v="Customer 77"/>
    <x v="1"/>
    <x v="6"/>
    <n v="1"/>
    <n v="7000"/>
    <x v="5"/>
    <x v="1"/>
    <n v="5000"/>
    <s v="Sony"/>
    <n v="7000"/>
    <n v="5000"/>
    <n v="2000"/>
    <n v="0.2857142857142857"/>
  </r>
  <r>
    <s v="O0949"/>
    <x v="273"/>
    <s v="Customer 3"/>
    <x v="1"/>
    <x v="6"/>
    <n v="3"/>
    <n v="7000"/>
    <x v="4"/>
    <x v="1"/>
    <n v="5000"/>
    <s v="Sony"/>
    <n v="21000"/>
    <n v="15000"/>
    <n v="6000"/>
    <n v="0.2857142857142857"/>
  </r>
  <r>
    <s v="O0950"/>
    <x v="190"/>
    <s v="Customer 37"/>
    <x v="1"/>
    <x v="6"/>
    <n v="1"/>
    <n v="7000"/>
    <x v="6"/>
    <x v="1"/>
    <n v="5000"/>
    <s v="Sony"/>
    <n v="7000"/>
    <n v="5000"/>
    <n v="2000"/>
    <n v="0.2857142857142857"/>
  </r>
  <r>
    <s v="O0951"/>
    <x v="236"/>
    <s v="Customer 21"/>
    <x v="4"/>
    <x v="4"/>
    <n v="3"/>
    <n v="60000"/>
    <x v="7"/>
    <x v="0"/>
    <n v="50000"/>
    <s v="LG"/>
    <n v="180000"/>
    <n v="150000"/>
    <n v="30000"/>
    <n v="0.16666666666666666"/>
  </r>
  <r>
    <s v="O0952"/>
    <x v="176"/>
    <s v="Customer 57"/>
    <x v="3"/>
    <x v="3"/>
    <n v="5"/>
    <n v="2000"/>
    <x v="7"/>
    <x v="2"/>
    <n v="1200"/>
    <s v="SanDisk"/>
    <n v="10000"/>
    <n v="6000"/>
    <n v="4000"/>
    <n v="0.4"/>
  </r>
  <r>
    <s v="O0953"/>
    <x v="28"/>
    <s v="Customer 59"/>
    <x v="4"/>
    <x v="9"/>
    <n v="2"/>
    <n v="80000"/>
    <x v="5"/>
    <x v="0"/>
    <n v="65000"/>
    <s v="Samsung"/>
    <n v="160000"/>
    <n v="130000"/>
    <n v="30000"/>
    <n v="0.1875"/>
  </r>
  <r>
    <s v="O0954"/>
    <x v="304"/>
    <s v="Customer 56"/>
    <x v="6"/>
    <x v="6"/>
    <n v="3"/>
    <n v="7000"/>
    <x v="5"/>
    <x v="1"/>
    <n v="5000"/>
    <s v="Sony"/>
    <n v="21000"/>
    <n v="15000"/>
    <n v="6000"/>
    <n v="0.2857142857142857"/>
  </r>
  <r>
    <s v="O0955"/>
    <x v="117"/>
    <s v="Customer 12"/>
    <x v="6"/>
    <x v="0"/>
    <n v="4"/>
    <n v="150000"/>
    <x v="5"/>
    <x v="0"/>
    <n v="120000"/>
    <s v="Dell"/>
    <n v="600000"/>
    <n v="480000"/>
    <n v="120000"/>
    <n v="0.2"/>
  </r>
  <r>
    <s v="O0956"/>
    <x v="338"/>
    <s v="Customer 42"/>
    <x v="3"/>
    <x v="5"/>
    <n v="3"/>
    <n v="9500"/>
    <x v="4"/>
    <x v="1"/>
    <n v="7000"/>
    <s v="Logitech"/>
    <n v="28500"/>
    <n v="21000"/>
    <n v="7500"/>
    <n v="0.26315789473684209"/>
  </r>
  <r>
    <s v="O0957"/>
    <x v="114"/>
    <s v="Customer 11"/>
    <x v="4"/>
    <x v="8"/>
    <n v="3"/>
    <n v="18000"/>
    <x v="4"/>
    <x v="2"/>
    <n v="12000"/>
    <s v="Kingston"/>
    <n v="54000"/>
    <n v="36000"/>
    <n v="18000"/>
    <n v="0.33333333333333331"/>
  </r>
  <r>
    <s v="O0958"/>
    <x v="184"/>
    <s v="Customer 35"/>
    <x v="6"/>
    <x v="2"/>
    <n v="1"/>
    <n v="2500"/>
    <x v="5"/>
    <x v="1"/>
    <n v="1500"/>
    <s v="Logitech"/>
    <n v="2500"/>
    <n v="1500"/>
    <n v="1000"/>
    <n v="0.4"/>
  </r>
  <r>
    <s v="O0959"/>
    <x v="73"/>
    <s v="Customer 86"/>
    <x v="1"/>
    <x v="0"/>
    <n v="2"/>
    <n v="150000"/>
    <x v="0"/>
    <x v="0"/>
    <n v="120000"/>
    <s v="Dell"/>
    <n v="300000"/>
    <n v="240000"/>
    <n v="60000"/>
    <n v="0.2"/>
  </r>
  <r>
    <s v="O0960"/>
    <x v="336"/>
    <s v="Customer 72"/>
    <x v="6"/>
    <x v="4"/>
    <n v="4"/>
    <n v="60000"/>
    <x v="1"/>
    <x v="0"/>
    <n v="50000"/>
    <s v="LG"/>
    <n v="240000"/>
    <n v="200000"/>
    <n v="40000"/>
    <n v="0.16666666666666666"/>
  </r>
  <r>
    <s v="O0961"/>
    <x v="73"/>
    <s v="Customer 28"/>
    <x v="1"/>
    <x v="1"/>
    <n v="4"/>
    <n v="45000"/>
    <x v="8"/>
    <x v="0"/>
    <n v="35000"/>
    <s v="HP"/>
    <n v="180000"/>
    <n v="140000"/>
    <n v="40000"/>
    <n v="0.22222222222222221"/>
  </r>
  <r>
    <s v="O0962"/>
    <x v="339"/>
    <s v="Customer 38"/>
    <x v="5"/>
    <x v="6"/>
    <n v="3"/>
    <n v="7000"/>
    <x v="0"/>
    <x v="1"/>
    <n v="5000"/>
    <s v="Sony"/>
    <n v="21000"/>
    <n v="15000"/>
    <n v="6000"/>
    <n v="0.2857142857142857"/>
  </r>
  <r>
    <s v="O0963"/>
    <x v="51"/>
    <s v="Customer 5"/>
    <x v="7"/>
    <x v="0"/>
    <n v="3"/>
    <n v="150000"/>
    <x v="4"/>
    <x v="0"/>
    <n v="120000"/>
    <s v="Dell"/>
    <n v="450000"/>
    <n v="360000"/>
    <n v="90000"/>
    <n v="0.2"/>
  </r>
  <r>
    <s v="O0964"/>
    <x v="223"/>
    <s v="Customer 9"/>
    <x v="7"/>
    <x v="3"/>
    <n v="5"/>
    <n v="2000"/>
    <x v="9"/>
    <x v="2"/>
    <n v="1200"/>
    <s v="SanDisk"/>
    <n v="10000"/>
    <n v="6000"/>
    <n v="4000"/>
    <n v="0.4"/>
  </r>
  <r>
    <s v="O0965"/>
    <x v="315"/>
    <s v="Customer 34"/>
    <x v="7"/>
    <x v="9"/>
    <n v="3"/>
    <n v="80000"/>
    <x v="9"/>
    <x v="0"/>
    <n v="65000"/>
    <s v="Samsung"/>
    <n v="240000"/>
    <n v="195000"/>
    <n v="45000"/>
    <n v="0.1875"/>
  </r>
  <r>
    <s v="O0966"/>
    <x v="81"/>
    <s v="Customer 27"/>
    <x v="6"/>
    <x v="6"/>
    <n v="5"/>
    <n v="7000"/>
    <x v="5"/>
    <x v="1"/>
    <n v="5000"/>
    <s v="Sony"/>
    <n v="35000"/>
    <n v="25000"/>
    <n v="10000"/>
    <n v="0.2857142857142857"/>
  </r>
  <r>
    <s v="O0967"/>
    <x v="288"/>
    <s v="Customer 77"/>
    <x v="5"/>
    <x v="3"/>
    <n v="4"/>
    <n v="2000"/>
    <x v="8"/>
    <x v="2"/>
    <n v="1200"/>
    <s v="SanDisk"/>
    <n v="8000"/>
    <n v="4800"/>
    <n v="3200"/>
    <n v="0.4"/>
  </r>
  <r>
    <s v="O0968"/>
    <x v="201"/>
    <s v="Customer 12"/>
    <x v="0"/>
    <x v="6"/>
    <n v="4"/>
    <n v="7000"/>
    <x v="1"/>
    <x v="1"/>
    <n v="5000"/>
    <s v="Sony"/>
    <n v="28000"/>
    <n v="20000"/>
    <n v="8000"/>
    <n v="0.2857142857142857"/>
  </r>
  <r>
    <s v="O0969"/>
    <x v="306"/>
    <s v="Customer 22"/>
    <x v="7"/>
    <x v="2"/>
    <n v="5"/>
    <n v="2500"/>
    <x v="5"/>
    <x v="1"/>
    <n v="1500"/>
    <s v="Logitech"/>
    <n v="12500"/>
    <n v="7500"/>
    <n v="5000"/>
    <n v="0.4"/>
  </r>
  <r>
    <s v="O0970"/>
    <x v="124"/>
    <s v="Customer 48"/>
    <x v="4"/>
    <x v="7"/>
    <n v="5"/>
    <n v="5000"/>
    <x v="0"/>
    <x v="1"/>
    <n v="3500"/>
    <s v="Logitech"/>
    <n v="25000"/>
    <n v="17500"/>
    <n v="7500"/>
    <n v="0.3"/>
  </r>
  <r>
    <s v="O0971"/>
    <x v="106"/>
    <s v="Customer 69"/>
    <x v="2"/>
    <x v="0"/>
    <n v="3"/>
    <n v="150000"/>
    <x v="0"/>
    <x v="0"/>
    <n v="120000"/>
    <s v="Dell"/>
    <n v="450000"/>
    <n v="360000"/>
    <n v="90000"/>
    <n v="0.2"/>
  </r>
  <r>
    <s v="O0972"/>
    <x v="27"/>
    <s v="Customer 79"/>
    <x v="6"/>
    <x v="8"/>
    <n v="5"/>
    <n v="18000"/>
    <x v="5"/>
    <x v="2"/>
    <n v="12000"/>
    <s v="Kingston"/>
    <n v="90000"/>
    <n v="60000"/>
    <n v="30000"/>
    <n v="0.33333333333333331"/>
  </r>
  <r>
    <s v="O0973"/>
    <x v="87"/>
    <s v="Customer 53"/>
    <x v="4"/>
    <x v="5"/>
    <n v="4"/>
    <n v="9500"/>
    <x v="1"/>
    <x v="1"/>
    <n v="7000"/>
    <s v="Logitech"/>
    <n v="38000"/>
    <n v="28000"/>
    <n v="10000"/>
    <n v="0.26315789473684209"/>
  </r>
  <r>
    <s v="O0974"/>
    <x v="189"/>
    <s v="Customer 25"/>
    <x v="7"/>
    <x v="5"/>
    <n v="3"/>
    <n v="9500"/>
    <x v="7"/>
    <x v="1"/>
    <n v="7000"/>
    <s v="Logitech"/>
    <n v="28500"/>
    <n v="21000"/>
    <n v="7500"/>
    <n v="0.26315789473684209"/>
  </r>
  <r>
    <s v="O0975"/>
    <x v="109"/>
    <s v="Customer 32"/>
    <x v="6"/>
    <x v="1"/>
    <n v="5"/>
    <n v="45000"/>
    <x v="2"/>
    <x v="0"/>
    <n v="35000"/>
    <s v="HP"/>
    <n v="225000"/>
    <n v="175000"/>
    <n v="50000"/>
    <n v="0.22222222222222221"/>
  </r>
  <r>
    <s v="O0976"/>
    <x v="76"/>
    <s v="Customer 30"/>
    <x v="0"/>
    <x v="8"/>
    <n v="3"/>
    <n v="18000"/>
    <x v="6"/>
    <x v="2"/>
    <n v="12000"/>
    <s v="Kingston"/>
    <n v="54000"/>
    <n v="36000"/>
    <n v="18000"/>
    <n v="0.33333333333333331"/>
  </r>
  <r>
    <s v="O0977"/>
    <x v="91"/>
    <s v="Customer 66"/>
    <x v="2"/>
    <x v="5"/>
    <n v="1"/>
    <n v="9500"/>
    <x v="8"/>
    <x v="1"/>
    <n v="7000"/>
    <s v="Logitech"/>
    <n v="9500"/>
    <n v="7000"/>
    <n v="2500"/>
    <n v="0.26315789473684209"/>
  </r>
  <r>
    <s v="O0978"/>
    <x v="324"/>
    <s v="Customer 75"/>
    <x v="6"/>
    <x v="6"/>
    <n v="3"/>
    <n v="7000"/>
    <x v="0"/>
    <x v="1"/>
    <n v="5000"/>
    <s v="Sony"/>
    <n v="21000"/>
    <n v="15000"/>
    <n v="6000"/>
    <n v="0.2857142857142857"/>
  </r>
  <r>
    <s v="O0979"/>
    <x v="303"/>
    <s v="Customer 50"/>
    <x v="6"/>
    <x v="0"/>
    <n v="1"/>
    <n v="150000"/>
    <x v="5"/>
    <x v="0"/>
    <n v="120000"/>
    <s v="Dell"/>
    <n v="150000"/>
    <n v="120000"/>
    <n v="30000"/>
    <n v="0.2"/>
  </r>
  <r>
    <s v="O0980"/>
    <x v="330"/>
    <s v="Customer 100"/>
    <x v="1"/>
    <x v="1"/>
    <n v="3"/>
    <n v="45000"/>
    <x v="9"/>
    <x v="0"/>
    <n v="35000"/>
    <s v="HP"/>
    <n v="135000"/>
    <n v="105000"/>
    <n v="30000"/>
    <n v="0.22222222222222221"/>
  </r>
  <r>
    <s v="O0981"/>
    <x v="326"/>
    <s v="Customer 39"/>
    <x v="1"/>
    <x v="1"/>
    <n v="5"/>
    <n v="45000"/>
    <x v="1"/>
    <x v="0"/>
    <n v="35000"/>
    <s v="HP"/>
    <n v="225000"/>
    <n v="175000"/>
    <n v="50000"/>
    <n v="0.22222222222222221"/>
  </r>
  <r>
    <s v="O0982"/>
    <x v="265"/>
    <s v="Customer 23"/>
    <x v="1"/>
    <x v="6"/>
    <n v="5"/>
    <n v="7000"/>
    <x v="6"/>
    <x v="1"/>
    <n v="5000"/>
    <s v="Sony"/>
    <n v="35000"/>
    <n v="25000"/>
    <n v="10000"/>
    <n v="0.2857142857142857"/>
  </r>
  <r>
    <s v="O0983"/>
    <x v="287"/>
    <s v="Customer 75"/>
    <x v="2"/>
    <x v="0"/>
    <n v="1"/>
    <n v="150000"/>
    <x v="4"/>
    <x v="0"/>
    <n v="120000"/>
    <s v="Dell"/>
    <n v="150000"/>
    <n v="120000"/>
    <n v="30000"/>
    <n v="0.2"/>
  </r>
  <r>
    <s v="O0984"/>
    <x v="66"/>
    <s v="Customer 93"/>
    <x v="3"/>
    <x v="2"/>
    <n v="3"/>
    <n v="2500"/>
    <x v="8"/>
    <x v="1"/>
    <n v="1500"/>
    <s v="Logitech"/>
    <n v="7500"/>
    <n v="4500"/>
    <n v="3000"/>
    <n v="0.4"/>
  </r>
  <r>
    <s v="O0985"/>
    <x v="335"/>
    <s v="Customer 77"/>
    <x v="2"/>
    <x v="2"/>
    <n v="4"/>
    <n v="2500"/>
    <x v="2"/>
    <x v="1"/>
    <n v="1500"/>
    <s v="Logitech"/>
    <n v="10000"/>
    <n v="6000"/>
    <n v="4000"/>
    <n v="0.4"/>
  </r>
  <r>
    <s v="O0986"/>
    <x v="326"/>
    <s v="Customer 70"/>
    <x v="3"/>
    <x v="6"/>
    <n v="1"/>
    <n v="7000"/>
    <x v="2"/>
    <x v="1"/>
    <n v="5000"/>
    <s v="Sony"/>
    <n v="7000"/>
    <n v="5000"/>
    <n v="2000"/>
    <n v="0.2857142857142857"/>
  </r>
  <r>
    <s v="O0987"/>
    <x v="92"/>
    <s v="Customer 70"/>
    <x v="5"/>
    <x v="7"/>
    <n v="4"/>
    <n v="5000"/>
    <x v="8"/>
    <x v="1"/>
    <n v="3500"/>
    <s v="Logitech"/>
    <n v="20000"/>
    <n v="14000"/>
    <n v="6000"/>
    <n v="0.3"/>
  </r>
  <r>
    <s v="O0988"/>
    <x v="110"/>
    <s v="Customer 97"/>
    <x v="6"/>
    <x v="5"/>
    <n v="2"/>
    <n v="9500"/>
    <x v="2"/>
    <x v="1"/>
    <n v="7000"/>
    <s v="Logitech"/>
    <n v="19000"/>
    <n v="14000"/>
    <n v="5000"/>
    <n v="0.26315789473684209"/>
  </r>
  <r>
    <s v="O0989"/>
    <x v="288"/>
    <s v="Customer 82"/>
    <x v="6"/>
    <x v="1"/>
    <n v="3"/>
    <n v="45000"/>
    <x v="5"/>
    <x v="0"/>
    <n v="35000"/>
    <s v="HP"/>
    <n v="135000"/>
    <n v="105000"/>
    <n v="30000"/>
    <n v="0.22222222222222221"/>
  </r>
  <r>
    <s v="O0990"/>
    <x v="29"/>
    <s v="Customer 99"/>
    <x v="2"/>
    <x v="3"/>
    <n v="3"/>
    <n v="2000"/>
    <x v="2"/>
    <x v="2"/>
    <n v="1200"/>
    <s v="SanDisk"/>
    <n v="6000"/>
    <n v="3600"/>
    <n v="2400"/>
    <n v="0.4"/>
  </r>
  <r>
    <s v="O0991"/>
    <x v="21"/>
    <s v="Customer 90"/>
    <x v="7"/>
    <x v="0"/>
    <n v="1"/>
    <n v="150000"/>
    <x v="8"/>
    <x v="0"/>
    <n v="120000"/>
    <s v="Dell"/>
    <n v="150000"/>
    <n v="120000"/>
    <n v="30000"/>
    <n v="0.2"/>
  </r>
  <r>
    <s v="O0992"/>
    <x v="61"/>
    <s v="Customer 75"/>
    <x v="5"/>
    <x v="9"/>
    <n v="5"/>
    <n v="80000"/>
    <x v="1"/>
    <x v="0"/>
    <n v="65000"/>
    <s v="Samsung"/>
    <n v="400000"/>
    <n v="325000"/>
    <n v="75000"/>
    <n v="0.1875"/>
  </r>
  <r>
    <s v="O0993"/>
    <x v="274"/>
    <s v="Customer 64"/>
    <x v="7"/>
    <x v="1"/>
    <n v="3"/>
    <n v="45000"/>
    <x v="7"/>
    <x v="0"/>
    <n v="35000"/>
    <s v="HP"/>
    <n v="135000"/>
    <n v="105000"/>
    <n v="30000"/>
    <n v="0.22222222222222221"/>
  </r>
  <r>
    <s v="O0994"/>
    <x v="263"/>
    <s v="Customer 25"/>
    <x v="6"/>
    <x v="1"/>
    <n v="5"/>
    <n v="45000"/>
    <x v="7"/>
    <x v="0"/>
    <n v="35000"/>
    <s v="HP"/>
    <n v="225000"/>
    <n v="175000"/>
    <n v="50000"/>
    <n v="0.22222222222222221"/>
  </r>
  <r>
    <s v="O0995"/>
    <x v="340"/>
    <s v="Customer 3"/>
    <x v="2"/>
    <x v="2"/>
    <n v="1"/>
    <n v="2500"/>
    <x v="4"/>
    <x v="1"/>
    <n v="1500"/>
    <s v="Logitech"/>
    <n v="2500"/>
    <n v="1500"/>
    <n v="1000"/>
    <n v="0.4"/>
  </r>
  <r>
    <s v="O0996"/>
    <x v="341"/>
    <s v="Customer 54"/>
    <x v="2"/>
    <x v="8"/>
    <n v="1"/>
    <n v="18000"/>
    <x v="4"/>
    <x v="2"/>
    <n v="12000"/>
    <s v="Kingston"/>
    <n v="18000"/>
    <n v="12000"/>
    <n v="6000"/>
    <n v="0.33333333333333331"/>
  </r>
  <r>
    <s v="O0997"/>
    <x v="43"/>
    <s v="Customer 65"/>
    <x v="6"/>
    <x v="1"/>
    <n v="5"/>
    <n v="45000"/>
    <x v="7"/>
    <x v="0"/>
    <n v="35000"/>
    <s v="HP"/>
    <n v="225000"/>
    <n v="175000"/>
    <n v="50000"/>
    <n v="0.22222222222222221"/>
  </r>
  <r>
    <s v="O0998"/>
    <x v="62"/>
    <s v="Customer 6"/>
    <x v="1"/>
    <x v="1"/>
    <n v="5"/>
    <n v="45000"/>
    <x v="8"/>
    <x v="0"/>
    <n v="35000"/>
    <s v="HP"/>
    <n v="225000"/>
    <n v="175000"/>
    <n v="50000"/>
    <n v="0.22222222222222221"/>
  </r>
  <r>
    <s v="O0999"/>
    <x v="266"/>
    <s v="Customer 91"/>
    <x v="0"/>
    <x v="9"/>
    <n v="2"/>
    <n v="80000"/>
    <x v="9"/>
    <x v="0"/>
    <n v="65000"/>
    <s v="Samsung"/>
    <n v="160000"/>
    <n v="130000"/>
    <n v="30000"/>
    <n v="0.1875"/>
  </r>
  <r>
    <s v="O1000"/>
    <x v="120"/>
    <s v="Customer 26"/>
    <x v="0"/>
    <x v="0"/>
    <n v="2"/>
    <n v="150000"/>
    <x v="5"/>
    <x v="0"/>
    <n v="120000"/>
    <s v="Dell"/>
    <n v="300000"/>
    <n v="240000"/>
    <n v="60000"/>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C7373-CAD8-40A2-B122-CD5BE03CD5B1}"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
  <location ref="A48:C59" firstHeaderRow="0" firstDataRow="1" firstDataCol="1"/>
  <pivotFields count="16">
    <pivotField showAll="0"/>
    <pivotField showAll="0">
      <items count="343">
        <item x="306"/>
        <item x="46"/>
        <item x="177"/>
        <item x="26"/>
        <item x="162"/>
        <item x="285"/>
        <item x="257"/>
        <item x="127"/>
        <item x="335"/>
        <item x="76"/>
        <item x="94"/>
        <item x="124"/>
        <item x="296"/>
        <item x="317"/>
        <item x="182"/>
        <item x="49"/>
        <item x="302"/>
        <item x="189"/>
        <item x="35"/>
        <item x="211"/>
        <item x="307"/>
        <item x="308"/>
        <item x="148"/>
        <item x="24"/>
        <item x="282"/>
        <item x="231"/>
        <item x="266"/>
        <item x="40"/>
        <item x="222"/>
        <item x="106"/>
        <item x="223"/>
        <item x="328"/>
        <item x="185"/>
        <item x="137"/>
        <item x="154"/>
        <item x="57"/>
        <item x="132"/>
        <item x="93"/>
        <item x="48"/>
        <item x="205"/>
        <item x="180"/>
        <item x="241"/>
        <item x="316"/>
        <item x="60"/>
        <item x="322"/>
        <item x="244"/>
        <item x="249"/>
        <item x="175"/>
        <item x="13"/>
        <item x="206"/>
        <item x="297"/>
        <item x="82"/>
        <item x="325"/>
        <item x="274"/>
        <item x="260"/>
        <item x="313"/>
        <item x="88"/>
        <item x="305"/>
        <item x="117"/>
        <item x="6"/>
        <item x="84"/>
        <item x="226"/>
        <item x="258"/>
        <item x="278"/>
        <item x="134"/>
        <item x="91"/>
        <item x="295"/>
        <item x="122"/>
        <item x="42"/>
        <item x="135"/>
        <item x="312"/>
        <item x="263"/>
        <item x="219"/>
        <item x="184"/>
        <item x="109"/>
        <item x="243"/>
        <item x="99"/>
        <item x="54"/>
        <item x="250"/>
        <item x="334"/>
        <item x="167"/>
        <item x="7"/>
        <item x="252"/>
        <item x="261"/>
        <item x="199"/>
        <item x="92"/>
        <item x="275"/>
        <item x="227"/>
        <item x="221"/>
        <item x="102"/>
        <item x="3"/>
        <item x="301"/>
        <item x="234"/>
        <item x="194"/>
        <item x="196"/>
        <item x="178"/>
        <item x="133"/>
        <item x="157"/>
        <item x="237"/>
        <item x="292"/>
        <item x="191"/>
        <item x="87"/>
        <item x="202"/>
        <item x="315"/>
        <item x="168"/>
        <item x="146"/>
        <item x="304"/>
        <item x="145"/>
        <item x="256"/>
        <item x="172"/>
        <item x="52"/>
        <item x="17"/>
        <item x="58"/>
        <item x="38"/>
        <item x="149"/>
        <item x="238"/>
        <item x="329"/>
        <item x="43"/>
        <item x="18"/>
        <item x="155"/>
        <item x="255"/>
        <item x="224"/>
        <item x="114"/>
        <item x="22"/>
        <item x="29"/>
        <item x="230"/>
        <item x="1"/>
        <item x="203"/>
        <item x="32"/>
        <item x="187"/>
        <item x="147"/>
        <item x="293"/>
        <item x="111"/>
        <item x="121"/>
        <item x="171"/>
        <item x="321"/>
        <item x="216"/>
        <item x="67"/>
        <item x="213"/>
        <item x="63"/>
        <item x="30"/>
        <item x="153"/>
        <item x="173"/>
        <item x="107"/>
        <item x="340"/>
        <item x="323"/>
        <item x="247"/>
        <item x="259"/>
        <item x="100"/>
        <item x="248"/>
        <item x="159"/>
        <item x="290"/>
        <item x="0"/>
        <item x="51"/>
        <item x="232"/>
        <item x="143"/>
        <item x="95"/>
        <item x="50"/>
        <item x="110"/>
        <item x="5"/>
        <item x="53"/>
        <item x="314"/>
        <item x="103"/>
        <item x="186"/>
        <item x="34"/>
        <item x="281"/>
        <item x="25"/>
        <item x="89"/>
        <item x="104"/>
        <item x="271"/>
        <item x="188"/>
        <item x="264"/>
        <item x="73"/>
        <item x="165"/>
        <item x="126"/>
        <item x="327"/>
        <item x="62"/>
        <item x="200"/>
        <item x="83"/>
        <item x="15"/>
        <item x="130"/>
        <item x="324"/>
        <item x="138"/>
        <item x="81"/>
        <item x="201"/>
        <item x="294"/>
        <item x="120"/>
        <item x="286"/>
        <item x="156"/>
        <item x="298"/>
        <item x="98"/>
        <item x="136"/>
        <item x="174"/>
        <item x="288"/>
        <item x="212"/>
        <item x="78"/>
        <item x="276"/>
        <item x="215"/>
        <item x="193"/>
        <item x="195"/>
        <item x="284"/>
        <item x="268"/>
        <item x="198"/>
        <item x="283"/>
        <item x="14"/>
        <item x="77"/>
        <item x="207"/>
        <item x="217"/>
        <item x="318"/>
        <item x="331"/>
        <item x="139"/>
        <item x="303"/>
        <item x="41"/>
        <item x="151"/>
        <item x="37"/>
        <item x="27"/>
        <item x="289"/>
        <item x="108"/>
        <item x="144"/>
        <item x="235"/>
        <item x="225"/>
        <item x="170"/>
        <item x="150"/>
        <item x="160"/>
        <item x="209"/>
        <item x="142"/>
        <item x="59"/>
        <item x="164"/>
        <item x="253"/>
        <item x="64"/>
        <item x="90"/>
        <item x="210"/>
        <item x="16"/>
        <item x="330"/>
        <item x="311"/>
        <item x="152"/>
        <item x="131"/>
        <item x="336"/>
        <item x="69"/>
        <item x="319"/>
        <item x="119"/>
        <item x="45"/>
        <item x="326"/>
        <item x="65"/>
        <item x="251"/>
        <item x="287"/>
        <item x="8"/>
        <item x="44"/>
        <item x="273"/>
        <item x="141"/>
        <item x="272"/>
        <item x="169"/>
        <item x="309"/>
        <item x="245"/>
        <item x="236"/>
        <item x="112"/>
        <item x="240"/>
        <item x="56"/>
        <item x="339"/>
        <item x="277"/>
        <item x="47"/>
        <item x="11"/>
        <item x="246"/>
        <item x="262"/>
        <item x="72"/>
        <item x="291"/>
        <item x="140"/>
        <item x="299"/>
        <item x="116"/>
        <item x="337"/>
        <item x="218"/>
        <item x="183"/>
        <item x="204"/>
        <item x="9"/>
        <item x="320"/>
        <item x="265"/>
        <item x="123"/>
        <item x="220"/>
        <item x="33"/>
        <item x="214"/>
        <item x="113"/>
        <item x="2"/>
        <item x="12"/>
        <item x="192"/>
        <item x="242"/>
        <item x="179"/>
        <item x="190"/>
        <item x="254"/>
        <item x="229"/>
        <item x="125"/>
        <item x="96"/>
        <item x="21"/>
        <item x="80"/>
        <item x="61"/>
        <item x="10"/>
        <item x="101"/>
        <item x="105"/>
        <item x="118"/>
        <item x="279"/>
        <item x="166"/>
        <item x="176"/>
        <item x="161"/>
        <item x="269"/>
        <item x="86"/>
        <item x="158"/>
        <item x="300"/>
        <item x="128"/>
        <item x="97"/>
        <item x="332"/>
        <item x="85"/>
        <item x="70"/>
        <item x="233"/>
        <item x="333"/>
        <item x="79"/>
        <item x="66"/>
        <item x="338"/>
        <item x="4"/>
        <item x="31"/>
        <item x="270"/>
        <item x="23"/>
        <item x="20"/>
        <item x="68"/>
        <item x="310"/>
        <item x="341"/>
        <item x="239"/>
        <item x="163"/>
        <item x="280"/>
        <item x="208"/>
        <item x="129"/>
        <item x="39"/>
        <item x="228"/>
        <item x="197"/>
        <item x="55"/>
        <item x="115"/>
        <item x="181"/>
        <item x="71"/>
        <item x="19"/>
        <item x="28"/>
        <item x="75"/>
        <item x="74"/>
        <item x="36"/>
        <item x="267"/>
        <item t="default"/>
      </items>
    </pivotField>
    <pivotField showAll="0"/>
    <pivotField showAll="0">
      <items count="9">
        <item x="3"/>
        <item x="2"/>
        <item x="6"/>
        <item x="1"/>
        <item x="4"/>
        <item x="5"/>
        <item x="0"/>
        <item x="7"/>
        <item t="default"/>
      </items>
    </pivotField>
    <pivotField showAll="0" sortType="descending">
      <items count="11">
        <item x="5"/>
        <item x="3"/>
        <item x="8"/>
        <item x="1"/>
        <item x="2"/>
        <item x="4"/>
        <item x="9"/>
        <item x="0"/>
        <item x="7"/>
        <item x="6"/>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11">
        <item x="9"/>
        <item x="5"/>
        <item x="1"/>
        <item x="2"/>
        <item x="6"/>
        <item x="0"/>
        <item x="4"/>
        <item x="7"/>
        <item x="8"/>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showAll="0"/>
    <pivotField showAll="0"/>
    <pivotField dataField="1" showAll="0"/>
    <pivotField numFmtId="9" showAll="0"/>
    <pivotField showAll="0">
      <items count="13">
        <item n="January" sd="0" x="0"/>
        <item n="February" sd="0" x="1"/>
        <item n="March" sd="0" x="2"/>
        <item n="April" sd="0" x="3"/>
        <item n="May" sd="0" x="4"/>
        <item n="June" sd="0" x="5"/>
        <item n="July" sd="0" x="7"/>
        <item n="August" sd="0" x="6"/>
        <item n="September" sd="0" x="8"/>
        <item n="October" sd="0" x="9"/>
        <item n="November" sd="0" x="10"/>
        <item n="December" sd="0" x="11"/>
        <item t="default"/>
      </items>
    </pivotField>
  </pivotFields>
  <rowFields count="1">
    <field x="7"/>
  </rowFields>
  <rowItems count="11">
    <i>
      <x v="1"/>
    </i>
    <i>
      <x v="3"/>
    </i>
    <i>
      <x v="8"/>
    </i>
    <i>
      <x v="5"/>
    </i>
    <i>
      <x v="7"/>
    </i>
    <i>
      <x v="6"/>
    </i>
    <i>
      <x/>
    </i>
    <i>
      <x v="2"/>
    </i>
    <i>
      <x v="9"/>
    </i>
    <i>
      <x v="4"/>
    </i>
    <i t="grand">
      <x/>
    </i>
  </rowItems>
  <colFields count="1">
    <field x="-2"/>
  </colFields>
  <colItems count="2">
    <i>
      <x/>
    </i>
    <i i="1">
      <x v="1"/>
    </i>
  </colItems>
  <dataFields count="2">
    <dataField name="Sales" fld="11" baseField="7" baseItem="1" numFmtId="170"/>
    <dataField name="Total Profit" fld="13" baseField="7" baseItem="1" numFmtId="170"/>
  </dataFields>
  <formats count="4">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1">
            <x v="0"/>
          </reference>
        </references>
      </pivotArea>
    </format>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24DB38-CE63-462C-AA7B-6D66A1E67D42}"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A32:B45" firstHeaderRow="1" firstDataRow="1" firstDataCol="1"/>
  <pivotFields count="16">
    <pivotField showAll="0"/>
    <pivotField axis="axisRow" showAll="0">
      <items count="343">
        <item x="306"/>
        <item x="46"/>
        <item x="177"/>
        <item x="26"/>
        <item x="162"/>
        <item x="285"/>
        <item x="257"/>
        <item x="127"/>
        <item x="335"/>
        <item x="76"/>
        <item x="94"/>
        <item x="124"/>
        <item x="296"/>
        <item x="317"/>
        <item x="182"/>
        <item x="49"/>
        <item x="302"/>
        <item x="189"/>
        <item x="35"/>
        <item x="211"/>
        <item x="307"/>
        <item x="308"/>
        <item x="148"/>
        <item x="24"/>
        <item x="282"/>
        <item x="231"/>
        <item x="266"/>
        <item x="40"/>
        <item x="222"/>
        <item x="106"/>
        <item x="223"/>
        <item x="328"/>
        <item x="185"/>
        <item x="137"/>
        <item x="154"/>
        <item x="57"/>
        <item x="132"/>
        <item x="93"/>
        <item x="48"/>
        <item x="205"/>
        <item x="180"/>
        <item x="241"/>
        <item x="316"/>
        <item x="60"/>
        <item x="322"/>
        <item x="244"/>
        <item x="249"/>
        <item x="175"/>
        <item x="13"/>
        <item x="206"/>
        <item x="297"/>
        <item x="82"/>
        <item x="325"/>
        <item x="274"/>
        <item x="260"/>
        <item x="313"/>
        <item x="88"/>
        <item x="305"/>
        <item x="117"/>
        <item x="6"/>
        <item x="84"/>
        <item x="226"/>
        <item x="258"/>
        <item x="278"/>
        <item x="134"/>
        <item x="91"/>
        <item x="295"/>
        <item x="122"/>
        <item x="42"/>
        <item x="135"/>
        <item x="312"/>
        <item x="263"/>
        <item x="219"/>
        <item x="184"/>
        <item x="109"/>
        <item x="243"/>
        <item x="99"/>
        <item x="54"/>
        <item x="250"/>
        <item x="334"/>
        <item x="167"/>
        <item x="7"/>
        <item x="252"/>
        <item x="261"/>
        <item x="199"/>
        <item x="92"/>
        <item x="275"/>
        <item x="227"/>
        <item x="221"/>
        <item x="102"/>
        <item x="3"/>
        <item x="301"/>
        <item x="234"/>
        <item x="194"/>
        <item x="196"/>
        <item x="178"/>
        <item x="133"/>
        <item x="157"/>
        <item x="237"/>
        <item x="292"/>
        <item x="191"/>
        <item x="87"/>
        <item x="202"/>
        <item x="315"/>
        <item x="168"/>
        <item x="146"/>
        <item x="304"/>
        <item x="145"/>
        <item x="256"/>
        <item x="172"/>
        <item x="52"/>
        <item x="17"/>
        <item x="58"/>
        <item x="38"/>
        <item x="149"/>
        <item x="238"/>
        <item x="329"/>
        <item x="43"/>
        <item x="18"/>
        <item x="155"/>
        <item x="255"/>
        <item x="224"/>
        <item x="114"/>
        <item x="22"/>
        <item x="29"/>
        <item x="230"/>
        <item x="1"/>
        <item x="203"/>
        <item x="32"/>
        <item x="187"/>
        <item x="147"/>
        <item x="293"/>
        <item x="111"/>
        <item x="121"/>
        <item x="171"/>
        <item x="321"/>
        <item x="216"/>
        <item x="67"/>
        <item x="213"/>
        <item x="63"/>
        <item x="30"/>
        <item x="153"/>
        <item x="173"/>
        <item x="107"/>
        <item x="340"/>
        <item x="323"/>
        <item x="247"/>
        <item x="259"/>
        <item x="100"/>
        <item x="248"/>
        <item x="159"/>
        <item x="290"/>
        <item x="0"/>
        <item x="51"/>
        <item x="232"/>
        <item x="143"/>
        <item x="95"/>
        <item x="50"/>
        <item x="110"/>
        <item x="5"/>
        <item x="53"/>
        <item x="314"/>
        <item x="103"/>
        <item x="186"/>
        <item x="34"/>
        <item x="281"/>
        <item x="25"/>
        <item x="89"/>
        <item x="104"/>
        <item x="271"/>
        <item x="188"/>
        <item x="264"/>
        <item x="73"/>
        <item x="165"/>
        <item x="126"/>
        <item x="327"/>
        <item x="62"/>
        <item x="200"/>
        <item x="83"/>
        <item x="15"/>
        <item x="130"/>
        <item x="324"/>
        <item x="138"/>
        <item x="81"/>
        <item x="201"/>
        <item x="294"/>
        <item x="120"/>
        <item x="286"/>
        <item x="156"/>
        <item x="298"/>
        <item x="98"/>
        <item x="136"/>
        <item x="174"/>
        <item x="288"/>
        <item x="212"/>
        <item x="78"/>
        <item x="276"/>
        <item x="215"/>
        <item x="193"/>
        <item x="195"/>
        <item x="284"/>
        <item x="268"/>
        <item x="198"/>
        <item x="283"/>
        <item x="14"/>
        <item x="77"/>
        <item x="207"/>
        <item x="217"/>
        <item x="318"/>
        <item x="331"/>
        <item x="139"/>
        <item x="303"/>
        <item x="41"/>
        <item x="151"/>
        <item x="37"/>
        <item x="27"/>
        <item x="289"/>
        <item x="108"/>
        <item x="144"/>
        <item x="235"/>
        <item x="225"/>
        <item x="170"/>
        <item x="150"/>
        <item x="160"/>
        <item x="209"/>
        <item x="142"/>
        <item x="59"/>
        <item x="164"/>
        <item x="253"/>
        <item x="64"/>
        <item x="90"/>
        <item x="210"/>
        <item x="16"/>
        <item x="330"/>
        <item x="311"/>
        <item x="152"/>
        <item x="131"/>
        <item x="336"/>
        <item x="69"/>
        <item x="319"/>
        <item x="119"/>
        <item x="45"/>
        <item x="326"/>
        <item x="65"/>
        <item x="251"/>
        <item x="287"/>
        <item x="8"/>
        <item x="44"/>
        <item x="273"/>
        <item x="141"/>
        <item x="272"/>
        <item x="169"/>
        <item x="309"/>
        <item x="245"/>
        <item x="236"/>
        <item x="112"/>
        <item x="240"/>
        <item x="56"/>
        <item x="339"/>
        <item x="277"/>
        <item x="47"/>
        <item x="11"/>
        <item x="246"/>
        <item x="262"/>
        <item x="72"/>
        <item x="291"/>
        <item x="140"/>
        <item x="299"/>
        <item x="116"/>
        <item x="337"/>
        <item x="218"/>
        <item x="183"/>
        <item x="204"/>
        <item x="9"/>
        <item x="320"/>
        <item x="265"/>
        <item x="123"/>
        <item x="220"/>
        <item x="33"/>
        <item x="214"/>
        <item x="113"/>
        <item x="2"/>
        <item x="12"/>
        <item x="192"/>
        <item x="242"/>
        <item x="179"/>
        <item x="190"/>
        <item x="254"/>
        <item x="229"/>
        <item x="125"/>
        <item x="96"/>
        <item x="21"/>
        <item x="80"/>
        <item x="61"/>
        <item x="10"/>
        <item x="101"/>
        <item x="105"/>
        <item x="118"/>
        <item x="279"/>
        <item x="166"/>
        <item x="176"/>
        <item x="161"/>
        <item x="269"/>
        <item x="86"/>
        <item x="158"/>
        <item x="300"/>
        <item x="128"/>
        <item x="97"/>
        <item x="332"/>
        <item x="85"/>
        <item x="70"/>
        <item x="233"/>
        <item x="333"/>
        <item x="79"/>
        <item x="66"/>
        <item x="338"/>
        <item x="4"/>
        <item x="31"/>
        <item x="270"/>
        <item x="23"/>
        <item x="20"/>
        <item x="68"/>
        <item x="310"/>
        <item x="341"/>
        <item x="239"/>
        <item x="163"/>
        <item x="280"/>
        <item x="208"/>
        <item x="129"/>
        <item x="39"/>
        <item x="228"/>
        <item x="197"/>
        <item x="55"/>
        <item x="115"/>
        <item x="181"/>
        <item x="71"/>
        <item x="19"/>
        <item x="28"/>
        <item x="75"/>
        <item x="74"/>
        <item x="36"/>
        <item x="267"/>
        <item t="default"/>
      </items>
    </pivotField>
    <pivotField showAll="0"/>
    <pivotField showAll="0">
      <items count="9">
        <item x="3"/>
        <item x="2"/>
        <item x="6"/>
        <item x="1"/>
        <item x="4"/>
        <item x="5"/>
        <item x="0"/>
        <item x="7"/>
        <item t="default"/>
      </items>
    </pivotField>
    <pivotField showAll="0" sortType="descending">
      <items count="11">
        <item x="5"/>
        <item x="3"/>
        <item x="8"/>
        <item x="1"/>
        <item x="2"/>
        <item x="4"/>
        <item x="9"/>
        <item x="0"/>
        <item x="7"/>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9"/>
        <item x="5"/>
        <item x="1"/>
        <item x="2"/>
        <item x="6"/>
        <item x="0"/>
        <item x="4"/>
        <item x="7"/>
        <item x="8"/>
        <item x="3"/>
        <item t="default"/>
      </items>
    </pivotField>
    <pivotField showAll="0">
      <items count="4">
        <item x="1"/>
        <item x="0"/>
        <item x="2"/>
        <item t="default"/>
      </items>
    </pivotField>
    <pivotField showAll="0"/>
    <pivotField showAll="0"/>
    <pivotField dataField="1" showAll="0"/>
    <pivotField showAll="0"/>
    <pivotField showAll="0"/>
    <pivotField numFmtId="9" showAll="0"/>
    <pivotField axis="axisRow" showAll="0">
      <items count="13">
        <item n="January" sd="0" x="0"/>
        <item n="February" sd="0" x="1"/>
        <item n="March" sd="0" x="2"/>
        <item n="April" sd="0" x="3"/>
        <item n="May" sd="0" x="4"/>
        <item n="June" sd="0" x="5"/>
        <item n="July" sd="0" x="7"/>
        <item n="August" sd="0" x="6"/>
        <item n="September" sd="0" x="8"/>
        <item n="October" sd="0" x="9"/>
        <item n="November" sd="0" x="10"/>
        <item n="December" sd="0" x="11"/>
        <item t="default"/>
      </items>
    </pivotField>
  </pivotFields>
  <rowFields count="2">
    <field x="15"/>
    <field x="1"/>
  </rowFields>
  <rowItems count="13">
    <i>
      <x/>
    </i>
    <i>
      <x v="1"/>
    </i>
    <i>
      <x v="2"/>
    </i>
    <i>
      <x v="3"/>
    </i>
    <i>
      <x v="4"/>
    </i>
    <i>
      <x v="5"/>
    </i>
    <i>
      <x v="6"/>
    </i>
    <i>
      <x v="7"/>
    </i>
    <i>
      <x v="8"/>
    </i>
    <i>
      <x v="9"/>
    </i>
    <i>
      <x v="10"/>
    </i>
    <i>
      <x v="11"/>
    </i>
    <i t="grand">
      <x/>
    </i>
  </rowItems>
  <colItems count="1">
    <i/>
  </colItems>
  <dataFields count="1">
    <dataField name="Sum of Total Sale" fld="11" baseField="0" baseItem="0" numFmtId="170"/>
  </dataFields>
  <formats count="2">
    <format dxfId="7">
      <pivotArea outline="0" collapsedLevelsAreSubtotals="1" fieldPosition="0"/>
    </format>
    <format dxfId="6">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F1207-DB5B-4DEC-AE59-0D449819C2E6}"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ocation ref="A18:B29" firstHeaderRow="1" firstDataRow="1" firstDataCol="1"/>
  <pivotFields count="16">
    <pivotField showAll="0"/>
    <pivotField showAll="0">
      <items count="343">
        <item x="306"/>
        <item x="46"/>
        <item x="177"/>
        <item x="26"/>
        <item x="162"/>
        <item x="285"/>
        <item x="257"/>
        <item x="127"/>
        <item x="335"/>
        <item x="76"/>
        <item x="94"/>
        <item x="124"/>
        <item x="296"/>
        <item x="317"/>
        <item x="182"/>
        <item x="49"/>
        <item x="302"/>
        <item x="189"/>
        <item x="35"/>
        <item x="211"/>
        <item x="307"/>
        <item x="308"/>
        <item x="148"/>
        <item x="24"/>
        <item x="282"/>
        <item x="231"/>
        <item x="266"/>
        <item x="40"/>
        <item x="222"/>
        <item x="106"/>
        <item x="223"/>
        <item x="328"/>
        <item x="185"/>
        <item x="137"/>
        <item x="154"/>
        <item x="57"/>
        <item x="132"/>
        <item x="93"/>
        <item x="48"/>
        <item x="205"/>
        <item x="180"/>
        <item x="241"/>
        <item x="316"/>
        <item x="60"/>
        <item x="322"/>
        <item x="244"/>
        <item x="249"/>
        <item x="175"/>
        <item x="13"/>
        <item x="206"/>
        <item x="297"/>
        <item x="82"/>
        <item x="325"/>
        <item x="274"/>
        <item x="260"/>
        <item x="313"/>
        <item x="88"/>
        <item x="305"/>
        <item x="117"/>
        <item x="6"/>
        <item x="84"/>
        <item x="226"/>
        <item x="258"/>
        <item x="278"/>
        <item x="134"/>
        <item x="91"/>
        <item x="295"/>
        <item x="122"/>
        <item x="42"/>
        <item x="135"/>
        <item x="312"/>
        <item x="263"/>
        <item x="219"/>
        <item x="184"/>
        <item x="109"/>
        <item x="243"/>
        <item x="99"/>
        <item x="54"/>
        <item x="250"/>
        <item x="334"/>
        <item x="167"/>
        <item x="7"/>
        <item x="252"/>
        <item x="261"/>
        <item x="199"/>
        <item x="92"/>
        <item x="275"/>
        <item x="227"/>
        <item x="221"/>
        <item x="102"/>
        <item x="3"/>
        <item x="301"/>
        <item x="234"/>
        <item x="194"/>
        <item x="196"/>
        <item x="178"/>
        <item x="133"/>
        <item x="157"/>
        <item x="237"/>
        <item x="292"/>
        <item x="191"/>
        <item x="87"/>
        <item x="202"/>
        <item x="315"/>
        <item x="168"/>
        <item x="146"/>
        <item x="304"/>
        <item x="145"/>
        <item x="256"/>
        <item x="172"/>
        <item x="52"/>
        <item x="17"/>
        <item x="58"/>
        <item x="38"/>
        <item x="149"/>
        <item x="238"/>
        <item x="329"/>
        <item x="43"/>
        <item x="18"/>
        <item x="155"/>
        <item x="255"/>
        <item x="224"/>
        <item x="114"/>
        <item x="22"/>
        <item x="29"/>
        <item x="230"/>
        <item x="1"/>
        <item x="203"/>
        <item x="32"/>
        <item x="187"/>
        <item x="147"/>
        <item x="293"/>
        <item x="111"/>
        <item x="121"/>
        <item x="171"/>
        <item x="321"/>
        <item x="216"/>
        <item x="67"/>
        <item x="213"/>
        <item x="63"/>
        <item x="30"/>
        <item x="153"/>
        <item x="173"/>
        <item x="107"/>
        <item x="340"/>
        <item x="323"/>
        <item x="247"/>
        <item x="259"/>
        <item x="100"/>
        <item x="248"/>
        <item x="159"/>
        <item x="290"/>
        <item x="0"/>
        <item x="51"/>
        <item x="232"/>
        <item x="143"/>
        <item x="95"/>
        <item x="50"/>
        <item x="110"/>
        <item x="5"/>
        <item x="53"/>
        <item x="314"/>
        <item x="103"/>
        <item x="186"/>
        <item x="34"/>
        <item x="281"/>
        <item x="25"/>
        <item x="89"/>
        <item x="104"/>
        <item x="271"/>
        <item x="188"/>
        <item x="264"/>
        <item x="73"/>
        <item x="165"/>
        <item x="126"/>
        <item x="327"/>
        <item x="62"/>
        <item x="200"/>
        <item x="83"/>
        <item x="15"/>
        <item x="130"/>
        <item x="324"/>
        <item x="138"/>
        <item x="81"/>
        <item x="201"/>
        <item x="294"/>
        <item x="120"/>
        <item x="286"/>
        <item x="156"/>
        <item x="298"/>
        <item x="98"/>
        <item x="136"/>
        <item x="174"/>
        <item x="288"/>
        <item x="212"/>
        <item x="78"/>
        <item x="276"/>
        <item x="215"/>
        <item x="193"/>
        <item x="195"/>
        <item x="284"/>
        <item x="268"/>
        <item x="198"/>
        <item x="283"/>
        <item x="14"/>
        <item x="77"/>
        <item x="207"/>
        <item x="217"/>
        <item x="318"/>
        <item x="331"/>
        <item x="139"/>
        <item x="303"/>
        <item x="41"/>
        <item x="151"/>
        <item x="37"/>
        <item x="27"/>
        <item x="289"/>
        <item x="108"/>
        <item x="144"/>
        <item x="235"/>
        <item x="225"/>
        <item x="170"/>
        <item x="150"/>
        <item x="160"/>
        <item x="209"/>
        <item x="142"/>
        <item x="59"/>
        <item x="164"/>
        <item x="253"/>
        <item x="64"/>
        <item x="90"/>
        <item x="210"/>
        <item x="16"/>
        <item x="330"/>
        <item x="311"/>
        <item x="152"/>
        <item x="131"/>
        <item x="336"/>
        <item x="69"/>
        <item x="319"/>
        <item x="119"/>
        <item x="45"/>
        <item x="326"/>
        <item x="65"/>
        <item x="251"/>
        <item x="287"/>
        <item x="8"/>
        <item x="44"/>
        <item x="273"/>
        <item x="141"/>
        <item x="272"/>
        <item x="169"/>
        <item x="309"/>
        <item x="245"/>
        <item x="236"/>
        <item x="112"/>
        <item x="240"/>
        <item x="56"/>
        <item x="339"/>
        <item x="277"/>
        <item x="47"/>
        <item x="11"/>
        <item x="246"/>
        <item x="262"/>
        <item x="72"/>
        <item x="291"/>
        <item x="140"/>
        <item x="299"/>
        <item x="116"/>
        <item x="337"/>
        <item x="218"/>
        <item x="183"/>
        <item x="204"/>
        <item x="9"/>
        <item x="320"/>
        <item x="265"/>
        <item x="123"/>
        <item x="220"/>
        <item x="33"/>
        <item x="214"/>
        <item x="113"/>
        <item x="2"/>
        <item x="12"/>
        <item x="192"/>
        <item x="242"/>
        <item x="179"/>
        <item x="190"/>
        <item x="254"/>
        <item x="229"/>
        <item x="125"/>
        <item x="96"/>
        <item x="21"/>
        <item x="80"/>
        <item x="61"/>
        <item x="10"/>
        <item x="101"/>
        <item x="105"/>
        <item x="118"/>
        <item x="279"/>
        <item x="166"/>
        <item x="176"/>
        <item x="161"/>
        <item x="269"/>
        <item x="86"/>
        <item x="158"/>
        <item x="300"/>
        <item x="128"/>
        <item x="97"/>
        <item x="332"/>
        <item x="85"/>
        <item x="70"/>
        <item x="233"/>
        <item x="333"/>
        <item x="79"/>
        <item x="66"/>
        <item x="338"/>
        <item x="4"/>
        <item x="31"/>
        <item x="270"/>
        <item x="23"/>
        <item x="20"/>
        <item x="68"/>
        <item x="310"/>
        <item x="341"/>
        <item x="239"/>
        <item x="163"/>
        <item x="280"/>
        <item x="208"/>
        <item x="129"/>
        <item x="39"/>
        <item x="228"/>
        <item x="197"/>
        <item x="55"/>
        <item x="115"/>
        <item x="181"/>
        <item x="71"/>
        <item x="19"/>
        <item x="28"/>
        <item x="75"/>
        <item x="74"/>
        <item x="36"/>
        <item x="267"/>
        <item t="default"/>
      </items>
    </pivotField>
    <pivotField showAll="0"/>
    <pivotField showAll="0">
      <items count="9">
        <item x="3"/>
        <item x="2"/>
        <item x="6"/>
        <item x="1"/>
        <item x="4"/>
        <item x="5"/>
        <item x="0"/>
        <item x="7"/>
        <item t="default"/>
      </items>
    </pivotField>
    <pivotField axis="axisRow" showAll="0" sortType="descending">
      <items count="11">
        <item x="5"/>
        <item x="3"/>
        <item x="8"/>
        <item x="1"/>
        <item x="2"/>
        <item x="4"/>
        <item x="9"/>
        <item x="0"/>
        <item x="7"/>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9"/>
        <item x="5"/>
        <item x="1"/>
        <item x="2"/>
        <item x="6"/>
        <item x="0"/>
        <item x="4"/>
        <item x="7"/>
        <item x="8"/>
        <item x="3"/>
        <item t="default"/>
      </items>
    </pivotField>
    <pivotField showAll="0">
      <items count="4">
        <item x="1"/>
        <item x="0"/>
        <item x="2"/>
        <item t="default"/>
      </items>
    </pivotField>
    <pivotField showAll="0"/>
    <pivotField showAll="0"/>
    <pivotField dataField="1" showAll="0"/>
    <pivotField showAll="0"/>
    <pivotField showAll="0"/>
    <pivotField numFmtId="9" showAll="0"/>
    <pivotField showAll="0">
      <items count="13">
        <item x="0"/>
        <item x="1"/>
        <item x="2"/>
        <item x="3"/>
        <item x="4"/>
        <item x="5"/>
        <item x="7"/>
        <item x="6"/>
        <item x="8"/>
        <item x="9"/>
        <item x="10"/>
        <item x="11"/>
        <item t="default"/>
      </items>
    </pivotField>
  </pivotFields>
  <rowFields count="1">
    <field x="4"/>
  </rowFields>
  <rowItems count="11">
    <i>
      <x v="7"/>
    </i>
    <i>
      <x v="6"/>
    </i>
    <i>
      <x v="5"/>
    </i>
    <i>
      <x v="3"/>
    </i>
    <i>
      <x v="2"/>
    </i>
    <i>
      <x/>
    </i>
    <i>
      <x v="9"/>
    </i>
    <i>
      <x v="8"/>
    </i>
    <i>
      <x v="4"/>
    </i>
    <i>
      <x v="1"/>
    </i>
    <i t="grand">
      <x/>
    </i>
  </rowItems>
  <colItems count="1">
    <i/>
  </colItems>
  <dataFields count="1">
    <dataField name="Sum of Total Sale" fld="11" baseField="0" baseItem="0" numFmtId="170"/>
  </dataFields>
  <formats count="2">
    <format dxfId="5">
      <pivotArea outline="0" collapsedLevelsAreSubtotals="1" fieldPosition="0"/>
    </format>
    <format dxfId="4">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95A1E7-2B9B-46C9-BC98-5F45F04F1DD9}" name="PivotTable1" cacheId="23"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1" rowHeaderCaption="Region">
  <location ref="A3:B12" firstHeaderRow="1" firstDataRow="1" firstDataCol="1"/>
  <pivotFields count="16">
    <pivotField showAll="0"/>
    <pivotField showAll="0">
      <items count="343">
        <item x="306"/>
        <item x="46"/>
        <item x="177"/>
        <item x="26"/>
        <item x="162"/>
        <item x="285"/>
        <item x="257"/>
        <item x="127"/>
        <item x="335"/>
        <item x="76"/>
        <item x="94"/>
        <item x="124"/>
        <item x="296"/>
        <item x="317"/>
        <item x="182"/>
        <item x="49"/>
        <item x="302"/>
        <item x="189"/>
        <item x="35"/>
        <item x="211"/>
        <item x="307"/>
        <item x="308"/>
        <item x="148"/>
        <item x="24"/>
        <item x="282"/>
        <item x="231"/>
        <item x="266"/>
        <item x="40"/>
        <item x="222"/>
        <item x="106"/>
        <item x="223"/>
        <item x="328"/>
        <item x="185"/>
        <item x="137"/>
        <item x="154"/>
        <item x="57"/>
        <item x="132"/>
        <item x="93"/>
        <item x="48"/>
        <item x="205"/>
        <item x="180"/>
        <item x="241"/>
        <item x="316"/>
        <item x="60"/>
        <item x="322"/>
        <item x="244"/>
        <item x="249"/>
        <item x="175"/>
        <item x="13"/>
        <item x="206"/>
        <item x="297"/>
        <item x="82"/>
        <item x="325"/>
        <item x="274"/>
        <item x="260"/>
        <item x="313"/>
        <item x="88"/>
        <item x="305"/>
        <item x="117"/>
        <item x="6"/>
        <item x="84"/>
        <item x="226"/>
        <item x="258"/>
        <item x="278"/>
        <item x="134"/>
        <item x="91"/>
        <item x="295"/>
        <item x="122"/>
        <item x="42"/>
        <item x="135"/>
        <item x="312"/>
        <item x="263"/>
        <item x="219"/>
        <item x="184"/>
        <item x="109"/>
        <item x="243"/>
        <item x="99"/>
        <item x="54"/>
        <item x="250"/>
        <item x="334"/>
        <item x="167"/>
        <item x="7"/>
        <item x="252"/>
        <item x="261"/>
        <item x="199"/>
        <item x="92"/>
        <item x="275"/>
        <item x="227"/>
        <item x="221"/>
        <item x="102"/>
        <item x="3"/>
        <item x="301"/>
        <item x="234"/>
        <item x="194"/>
        <item x="196"/>
        <item x="178"/>
        <item x="133"/>
        <item x="157"/>
        <item x="237"/>
        <item x="292"/>
        <item x="191"/>
        <item x="87"/>
        <item x="202"/>
        <item x="315"/>
        <item x="168"/>
        <item x="146"/>
        <item x="304"/>
        <item x="145"/>
        <item x="256"/>
        <item x="172"/>
        <item x="52"/>
        <item x="17"/>
        <item x="58"/>
        <item x="38"/>
        <item x="149"/>
        <item x="238"/>
        <item x="329"/>
        <item x="43"/>
        <item x="18"/>
        <item x="155"/>
        <item x="255"/>
        <item x="224"/>
        <item x="114"/>
        <item x="22"/>
        <item x="29"/>
        <item x="230"/>
        <item x="1"/>
        <item x="203"/>
        <item x="32"/>
        <item x="187"/>
        <item x="147"/>
        <item x="293"/>
        <item x="111"/>
        <item x="121"/>
        <item x="171"/>
        <item x="321"/>
        <item x="216"/>
        <item x="67"/>
        <item x="213"/>
        <item x="63"/>
        <item x="30"/>
        <item x="153"/>
        <item x="173"/>
        <item x="107"/>
        <item x="340"/>
        <item x="323"/>
        <item x="247"/>
        <item x="259"/>
        <item x="100"/>
        <item x="248"/>
        <item x="159"/>
        <item x="290"/>
        <item x="0"/>
        <item x="51"/>
        <item x="232"/>
        <item x="143"/>
        <item x="95"/>
        <item x="50"/>
        <item x="110"/>
        <item x="5"/>
        <item x="53"/>
        <item x="314"/>
        <item x="103"/>
        <item x="186"/>
        <item x="34"/>
        <item x="281"/>
        <item x="25"/>
        <item x="89"/>
        <item x="104"/>
        <item x="271"/>
        <item x="188"/>
        <item x="264"/>
        <item x="73"/>
        <item x="165"/>
        <item x="126"/>
        <item x="327"/>
        <item x="62"/>
        <item x="200"/>
        <item x="83"/>
        <item x="15"/>
        <item x="130"/>
        <item x="324"/>
        <item x="138"/>
        <item x="81"/>
        <item x="201"/>
        <item x="294"/>
        <item x="120"/>
        <item x="286"/>
        <item x="156"/>
        <item x="298"/>
        <item x="98"/>
        <item x="136"/>
        <item x="174"/>
        <item x="288"/>
        <item x="212"/>
        <item x="78"/>
        <item x="276"/>
        <item x="215"/>
        <item x="193"/>
        <item x="195"/>
        <item x="284"/>
        <item x="268"/>
        <item x="198"/>
        <item x="283"/>
        <item x="14"/>
        <item x="77"/>
        <item x="207"/>
        <item x="217"/>
        <item x="318"/>
        <item x="331"/>
        <item x="139"/>
        <item x="303"/>
        <item x="41"/>
        <item x="151"/>
        <item x="37"/>
        <item x="27"/>
        <item x="289"/>
        <item x="108"/>
        <item x="144"/>
        <item x="235"/>
        <item x="225"/>
        <item x="170"/>
        <item x="150"/>
        <item x="160"/>
        <item x="209"/>
        <item x="142"/>
        <item x="59"/>
        <item x="164"/>
        <item x="253"/>
        <item x="64"/>
        <item x="90"/>
        <item x="210"/>
        <item x="16"/>
        <item x="330"/>
        <item x="311"/>
        <item x="152"/>
        <item x="131"/>
        <item x="336"/>
        <item x="69"/>
        <item x="319"/>
        <item x="119"/>
        <item x="45"/>
        <item x="326"/>
        <item x="65"/>
        <item x="251"/>
        <item x="287"/>
        <item x="8"/>
        <item x="44"/>
        <item x="273"/>
        <item x="141"/>
        <item x="272"/>
        <item x="169"/>
        <item x="309"/>
        <item x="245"/>
        <item x="236"/>
        <item x="112"/>
        <item x="240"/>
        <item x="56"/>
        <item x="339"/>
        <item x="277"/>
        <item x="47"/>
        <item x="11"/>
        <item x="246"/>
        <item x="262"/>
        <item x="72"/>
        <item x="291"/>
        <item x="140"/>
        <item x="299"/>
        <item x="116"/>
        <item x="337"/>
        <item x="218"/>
        <item x="183"/>
        <item x="204"/>
        <item x="9"/>
        <item x="320"/>
        <item x="265"/>
        <item x="123"/>
        <item x="220"/>
        <item x="33"/>
        <item x="214"/>
        <item x="113"/>
        <item x="2"/>
        <item x="12"/>
        <item x="192"/>
        <item x="242"/>
        <item x="179"/>
        <item x="190"/>
        <item x="254"/>
        <item x="229"/>
        <item x="125"/>
        <item x="96"/>
        <item x="21"/>
        <item x="80"/>
        <item x="61"/>
        <item x="10"/>
        <item x="101"/>
        <item x="105"/>
        <item x="118"/>
        <item x="279"/>
        <item x="166"/>
        <item x="176"/>
        <item x="161"/>
        <item x="269"/>
        <item x="86"/>
        <item x="158"/>
        <item x="300"/>
        <item x="128"/>
        <item x="97"/>
        <item x="332"/>
        <item x="85"/>
        <item x="70"/>
        <item x="233"/>
        <item x="333"/>
        <item x="79"/>
        <item x="66"/>
        <item x="338"/>
        <item x="4"/>
        <item x="31"/>
        <item x="270"/>
        <item x="23"/>
        <item x="20"/>
        <item x="68"/>
        <item x="310"/>
        <item x="341"/>
        <item x="239"/>
        <item x="163"/>
        <item x="280"/>
        <item x="208"/>
        <item x="129"/>
        <item x="39"/>
        <item x="228"/>
        <item x="197"/>
        <item x="55"/>
        <item x="115"/>
        <item x="181"/>
        <item x="71"/>
        <item x="19"/>
        <item x="28"/>
        <item x="75"/>
        <item x="74"/>
        <item x="36"/>
        <item x="267"/>
        <item t="default"/>
      </items>
    </pivotField>
    <pivotField showAll="0"/>
    <pivotField axis="axisRow" showAll="0">
      <items count="9">
        <item x="3"/>
        <item x="2"/>
        <item x="6"/>
        <item x="1"/>
        <item x="4"/>
        <item x="5"/>
        <item x="0"/>
        <item x="7"/>
        <item t="default"/>
      </items>
    </pivotField>
    <pivotField showAll="0">
      <items count="11">
        <item x="6"/>
        <item x="7"/>
        <item x="0"/>
        <item x="9"/>
        <item x="4"/>
        <item x="2"/>
        <item x="1"/>
        <item x="8"/>
        <item x="3"/>
        <item x="5"/>
        <item t="default"/>
      </items>
    </pivotField>
    <pivotField showAll="0"/>
    <pivotField showAll="0"/>
    <pivotField showAll="0">
      <items count="11">
        <item x="9"/>
        <item x="5"/>
        <item x="1"/>
        <item x="2"/>
        <item x="6"/>
        <item x="0"/>
        <item x="4"/>
        <item x="7"/>
        <item x="8"/>
        <item x="3"/>
        <item t="default"/>
      </items>
    </pivotField>
    <pivotField showAll="0">
      <items count="4">
        <item x="1"/>
        <item x="0"/>
        <item x="2"/>
        <item t="default"/>
      </items>
    </pivotField>
    <pivotField showAll="0"/>
    <pivotField showAll="0"/>
    <pivotField dataField="1" showAll="0"/>
    <pivotField showAll="0"/>
    <pivotField showAll="0"/>
    <pivotField numFmtId="9" showAll="0"/>
    <pivotField showAll="0">
      <items count="13">
        <item x="0"/>
        <item x="1"/>
        <item x="2"/>
        <item x="3"/>
        <item x="4"/>
        <item x="5"/>
        <item x="7"/>
        <item x="6"/>
        <item x="8"/>
        <item x="9"/>
        <item x="10"/>
        <item x="11"/>
        <item t="default"/>
      </items>
    </pivotField>
  </pivotFields>
  <rowFields count="1">
    <field x="3"/>
  </rowFields>
  <rowItems count="9">
    <i>
      <x/>
    </i>
    <i>
      <x v="1"/>
    </i>
    <i>
      <x v="2"/>
    </i>
    <i>
      <x v="3"/>
    </i>
    <i>
      <x v="4"/>
    </i>
    <i>
      <x v="5"/>
    </i>
    <i>
      <x v="6"/>
    </i>
    <i>
      <x v="7"/>
    </i>
    <i t="grand">
      <x/>
    </i>
  </rowItems>
  <colItems count="1">
    <i/>
  </colItems>
  <dataFields count="1">
    <dataField name="Sum of Total Sale" fld="11" baseField="0" baseItem="0" numFmtId="170"/>
  </dataFields>
  <formats count="3">
    <format dxfId="10">
      <pivotArea collapsedLevelsAreSubtotals="1" fieldPosition="0">
        <references count="1">
          <reference field="3" count="0"/>
        </references>
      </pivotArea>
    </format>
    <format dxfId="3">
      <pivotArea outline="0" collapsedLevelsAreSubtotals="1" fieldPosition="0"/>
    </format>
    <format dxfId="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94C19D-5554-423C-9B53-69DC4FF6D898}" sourceName="Category">
  <pivotTables>
    <pivotTable tabId="4" name="PivotTable1"/>
    <pivotTable tabId="4" name="PivotTable2"/>
    <pivotTable tabId="4" name="PivotTable3"/>
    <pivotTable tabId="4" name="PivotTable5"/>
  </pivotTables>
  <data>
    <tabular pivotCacheId="71965682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E25160F4-78A6-4EAA-8003-7A72805D5D76}" sourceName="Sales Rep">
  <pivotTables>
    <pivotTable tabId="4" name="PivotTable1"/>
    <pivotTable tabId="4" name="PivotTable2"/>
    <pivotTable tabId="4" name="PivotTable3"/>
    <pivotTable tabId="4" name="PivotTable5"/>
  </pivotTables>
  <data>
    <tabular pivotCacheId="719656828">
      <items count="10">
        <i x="9" s="1"/>
        <i x="5" s="1"/>
        <i x="1" s="1"/>
        <i x="2" s="1"/>
        <i x="6" s="1"/>
        <i x="0" s="1"/>
        <i x="4" s="1"/>
        <i x="7" s="1"/>
        <i x="8"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9244090-FBCD-4F1F-8E56-9ACABCEFA123}" sourceName="Product">
  <pivotTables>
    <pivotTable tabId="4" name="PivotTable1"/>
    <pivotTable tabId="4" name="PivotTable2"/>
    <pivotTable tabId="4" name="PivotTable3"/>
    <pivotTable tabId="4" name="PivotTable5"/>
  </pivotTables>
  <data>
    <tabular pivotCacheId="719656828">
      <items count="10">
        <i x="6" s="1"/>
        <i x="7" s="1"/>
        <i x="0" s="1"/>
        <i x="9" s="1"/>
        <i x="4" s="1"/>
        <i x="2" s="1"/>
        <i x="1" s="1"/>
        <i x="8"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E6546A-35F4-43E0-AAA7-605D4B2A2D37}" sourceName="Region">
  <pivotTables>
    <pivotTable tabId="4" name="PivotTable1"/>
    <pivotTable tabId="4" name="PivotTable2"/>
    <pivotTable tabId="4" name="PivotTable3"/>
    <pivotTable tabId="4" name="PivotTable5"/>
  </pivotTables>
  <data>
    <tabular pivotCacheId="719656828">
      <items count="8">
        <i x="3" s="1"/>
        <i x="2" s="1"/>
        <i x="6" s="1"/>
        <i x="1" s="1"/>
        <i x="4" s="1"/>
        <i x="5"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AF13958-50C7-423D-815E-116A2023B2B7}" cache="Slicer_Category" caption="Category" rowHeight="234950"/>
  <slicer name="Sales Rep" xr10:uid="{E3CE5387-4127-4F9F-AF98-D0E60C0E7455}" cache="Slicer_Sales_Rep" caption="Sales Rep" rowHeight="234950"/>
  <slicer name="Product" xr10:uid="{4540A239-30E2-44B1-81B5-9812080B47A1}" cache="Slicer_Product" caption="Product" rowHeight="234950"/>
  <slicer name="Region" xr10:uid="{C6918E65-3A04-41E5-9B2A-860F3C368AC4}"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AE1A9-B685-4189-A465-0B79E3F56EAD}" name="Table1" displayName="Table1" ref="A1:O1001" totalsRowShown="0" headerRowDxfId="11">
  <autoFilter ref="A1:O1001" xr:uid="{5F3AE1A9-B685-4189-A465-0B79E3F56EAD}"/>
  <tableColumns count="15">
    <tableColumn id="1" xr3:uid="{A27F80DC-8CEA-4970-B159-DAD8DE4BE1E2}" name="OrderID"/>
    <tableColumn id="2" xr3:uid="{C8F9A901-0D81-4D47-92F9-80F4D0762486}" name="Date"/>
    <tableColumn id="3" xr3:uid="{2C214CC7-C61B-4CB1-94E9-4A8137AEC271}" name="Customer"/>
    <tableColumn id="4" xr3:uid="{82B929AE-0B91-4195-8BF8-429EFD03A78C}" name="Region"/>
    <tableColumn id="5" xr3:uid="{8BB41E4F-37D8-4380-81E4-7B441841089A}" name="Product"/>
    <tableColumn id="6" xr3:uid="{74917B8F-B36A-4144-AB22-12B324C05F67}" name="Qty"/>
    <tableColumn id="7" xr3:uid="{55A798AA-E4E5-47D2-A627-F772636C4033}" name="Unit Price"/>
    <tableColumn id="8" xr3:uid="{BEE7FDC5-6966-444C-A785-6D3C82842A26}" name="Sales Rep"/>
    <tableColumn id="9" xr3:uid="{C822BB0A-C191-402C-A925-D4AE5998D59C}" name="Category">
      <calculatedColumnFormula>_xlfn.XLOOKUP(E2,'Products Master'!A:A,'Products Master'!B:B)</calculatedColumnFormula>
    </tableColumn>
    <tableColumn id="10" xr3:uid="{F9F987A4-2395-4322-9E57-2F17A557C538}" name="Cost Price">
      <calculatedColumnFormula>_xlfn.XLOOKUP(E2,'Products Master'!A:A,'Products Master'!C:C)</calculatedColumnFormula>
    </tableColumn>
    <tableColumn id="11" xr3:uid="{4312EF9E-0FDC-4B28-898F-4BD38707DD09}" name="Brand ">
      <calculatedColumnFormula>_xlfn.XLOOKUP(E2,'Products Master'!A:A,'Products Master'!D:D)</calculatedColumnFormula>
    </tableColumn>
    <tableColumn id="12" xr3:uid="{CFF5EEB4-172C-45C2-9AB0-C1D69297E998}" name="Total Sale">
      <calculatedColumnFormula>F2*G2</calculatedColumnFormula>
    </tableColumn>
    <tableColumn id="13" xr3:uid="{E0AE51D7-2FD7-483D-BB3E-21FB510025C4}" name="Total Cost">
      <calculatedColumnFormula>F2*J2</calculatedColumnFormula>
    </tableColumn>
    <tableColumn id="14" xr3:uid="{BC09A655-BE45-43DA-A3C2-97EDA388C366}" name="Profit">
      <calculatedColumnFormula>L2-M2</calculatedColumnFormula>
    </tableColumn>
    <tableColumn id="15" xr3:uid="{9C784CFA-DB84-4C4D-B981-EA0791EBEE79}" name="Profit Margin %" dataDxfId="12" dataCellStyle="Percent">
      <calculatedColumnFormula>N2/L2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0B39B-ABDF-48AF-B865-A6EF75047EEE}">
  <sheetPr>
    <pageSetUpPr fitToPage="1"/>
  </sheetPr>
  <dimension ref="A1:W1"/>
  <sheetViews>
    <sheetView showGridLines="0" tabSelected="1" topLeftCell="A12" zoomScale="55" zoomScaleNormal="55" workbookViewId="0">
      <selection activeCell="AB48" sqref="AB48"/>
    </sheetView>
  </sheetViews>
  <sheetFormatPr defaultRowHeight="14.4"/>
  <cols>
    <col min="1" max="1" width="7.77734375" customWidth="1"/>
    <col min="10" max="10" width="8.88671875" customWidth="1"/>
    <col min="23" max="23" width="12.21875" customWidth="1"/>
  </cols>
  <sheetData>
    <row r="1" spans="1:23" ht="59.4">
      <c r="A1" s="8"/>
      <c r="B1" s="5"/>
      <c r="C1" s="5"/>
      <c r="D1" s="5"/>
      <c r="E1" s="5"/>
      <c r="F1" s="5"/>
      <c r="G1" s="5"/>
      <c r="H1" s="5"/>
      <c r="I1" s="5"/>
      <c r="J1" s="5"/>
      <c r="K1" s="5"/>
      <c r="L1" s="5"/>
      <c r="M1" s="5"/>
      <c r="N1" s="5"/>
      <c r="O1" s="5"/>
      <c r="P1" s="5"/>
      <c r="Q1" s="5"/>
      <c r="R1" s="5"/>
      <c r="S1" s="5"/>
      <c r="T1" s="5"/>
      <c r="U1" s="5"/>
      <c r="V1" s="5"/>
      <c r="W1" s="5"/>
    </row>
  </sheetData>
  <mergeCells count="1">
    <mergeCell ref="A1:W1"/>
  </mergeCells>
  <pageMargins left="0.7" right="0.7" top="0.75" bottom="0.75" header="0.3" footer="0.3"/>
  <pageSetup paperSize="9" scale="63" fitToHeight="0" orientation="landscape"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FA59-209E-46AA-B772-1D69702EBB13}">
  <dimension ref="A3:C59"/>
  <sheetViews>
    <sheetView topLeftCell="A43" workbookViewId="0">
      <selection activeCell="O64" sqref="O64"/>
    </sheetView>
  </sheetViews>
  <sheetFormatPr defaultRowHeight="14.4"/>
  <cols>
    <col min="1" max="1" width="10.77734375" bestFit="1" customWidth="1"/>
    <col min="2" max="2" width="17.6640625" style="7" bestFit="1" customWidth="1"/>
    <col min="3" max="3" width="16.5546875" style="6" bestFit="1" customWidth="1"/>
  </cols>
  <sheetData>
    <row r="3" spans="1:2">
      <c r="A3" s="3" t="s">
        <v>3</v>
      </c>
      <c r="B3" s="6" t="s">
        <v>1499</v>
      </c>
    </row>
    <row r="4" spans="1:2">
      <c r="A4" s="4" t="s">
        <v>29</v>
      </c>
      <c r="B4" s="6">
        <v>18509000</v>
      </c>
    </row>
    <row r="5" spans="1:2">
      <c r="A5" s="4" t="s">
        <v>23</v>
      </c>
      <c r="B5" s="6">
        <v>19489500</v>
      </c>
    </row>
    <row r="6" spans="1:2">
      <c r="A6" s="4" t="s">
        <v>111</v>
      </c>
      <c r="B6" s="6">
        <v>12867500</v>
      </c>
    </row>
    <row r="7" spans="1:2">
      <c r="A7" s="4" t="s">
        <v>17</v>
      </c>
      <c r="B7" s="6">
        <v>15719000</v>
      </c>
    </row>
    <row r="8" spans="1:2">
      <c r="A8" s="4" t="s">
        <v>34</v>
      </c>
      <c r="B8" s="6">
        <v>14296500</v>
      </c>
    </row>
    <row r="9" spans="1:2">
      <c r="A9" s="4" t="s">
        <v>45</v>
      </c>
      <c r="B9" s="6">
        <v>14848500</v>
      </c>
    </row>
    <row r="10" spans="1:2">
      <c r="A10" s="4" t="s">
        <v>11</v>
      </c>
      <c r="B10" s="6">
        <v>13574500</v>
      </c>
    </row>
    <row r="11" spans="1:2">
      <c r="A11" s="4" t="s">
        <v>115</v>
      </c>
      <c r="B11" s="6">
        <v>16583000</v>
      </c>
    </row>
    <row r="12" spans="1:2">
      <c r="A12" s="4" t="s">
        <v>1498</v>
      </c>
      <c r="B12" s="6">
        <v>125887500</v>
      </c>
    </row>
    <row r="13" spans="1:2">
      <c r="A13" s="4"/>
    </row>
    <row r="14" spans="1:2">
      <c r="A14" s="4"/>
    </row>
    <row r="15" spans="1:2">
      <c r="A15" s="4"/>
    </row>
    <row r="18" spans="1:2">
      <c r="A18" s="3" t="s">
        <v>4</v>
      </c>
      <c r="B18" s="6" t="s">
        <v>1499</v>
      </c>
    </row>
    <row r="19" spans="1:2">
      <c r="A19" s="4" t="s">
        <v>12</v>
      </c>
      <c r="B19" s="6">
        <v>51600000</v>
      </c>
    </row>
    <row r="20" spans="1:2">
      <c r="A20" s="4" t="s">
        <v>179</v>
      </c>
      <c r="B20" s="6">
        <v>28720000</v>
      </c>
    </row>
    <row r="21" spans="1:2">
      <c r="A21" s="4" t="s">
        <v>40</v>
      </c>
      <c r="B21" s="6">
        <v>16860000</v>
      </c>
    </row>
    <row r="22" spans="1:2">
      <c r="A22" s="4" t="s">
        <v>18</v>
      </c>
      <c r="B22" s="6">
        <v>16110000</v>
      </c>
    </row>
    <row r="23" spans="1:2">
      <c r="A23" s="4" t="s">
        <v>124</v>
      </c>
      <c r="B23" s="6">
        <v>5364000</v>
      </c>
    </row>
    <row r="24" spans="1:2">
      <c r="A24" s="4" t="s">
        <v>49</v>
      </c>
      <c r="B24" s="6">
        <v>2584000</v>
      </c>
    </row>
    <row r="25" spans="1:2">
      <c r="A25" s="4" t="s">
        <v>54</v>
      </c>
      <c r="B25" s="6">
        <v>2114000</v>
      </c>
    </row>
    <row r="26" spans="1:2">
      <c r="A26" s="4" t="s">
        <v>99</v>
      </c>
      <c r="B26" s="6">
        <v>1270000</v>
      </c>
    </row>
    <row r="27" spans="1:2">
      <c r="A27" s="4" t="s">
        <v>24</v>
      </c>
      <c r="B27" s="6">
        <v>667500</v>
      </c>
    </row>
    <row r="28" spans="1:2">
      <c r="A28" s="4" t="s">
        <v>35</v>
      </c>
      <c r="B28" s="6">
        <v>598000</v>
      </c>
    </row>
    <row r="29" spans="1:2">
      <c r="A29" s="4" t="s">
        <v>1498</v>
      </c>
      <c r="B29" s="6">
        <v>125887500</v>
      </c>
    </row>
    <row r="32" spans="1:2">
      <c r="A32" s="3" t="s">
        <v>4</v>
      </c>
      <c r="B32" s="6" t="s">
        <v>1499</v>
      </c>
    </row>
    <row r="33" spans="1:3">
      <c r="A33" s="4" t="s">
        <v>1500</v>
      </c>
      <c r="B33" s="6">
        <v>8555500</v>
      </c>
    </row>
    <row r="34" spans="1:3">
      <c r="A34" s="4" t="s">
        <v>1501</v>
      </c>
      <c r="B34" s="6">
        <v>9661500</v>
      </c>
    </row>
    <row r="35" spans="1:3">
      <c r="A35" s="4" t="s">
        <v>1502</v>
      </c>
      <c r="B35" s="6">
        <v>15163500</v>
      </c>
    </row>
    <row r="36" spans="1:3">
      <c r="A36" s="4" t="s">
        <v>1503</v>
      </c>
      <c r="B36" s="6">
        <v>11291000</v>
      </c>
    </row>
    <row r="37" spans="1:3">
      <c r="A37" s="4" t="s">
        <v>1504</v>
      </c>
      <c r="B37" s="6">
        <v>8353000</v>
      </c>
    </row>
    <row r="38" spans="1:3">
      <c r="A38" s="4" t="s">
        <v>1505</v>
      </c>
      <c r="B38" s="6">
        <v>12127500</v>
      </c>
    </row>
    <row r="39" spans="1:3">
      <c r="A39" s="4" t="s">
        <v>1506</v>
      </c>
      <c r="B39" s="6">
        <v>12340000</v>
      </c>
    </row>
    <row r="40" spans="1:3">
      <c r="A40" s="4" t="s">
        <v>1507</v>
      </c>
      <c r="B40" s="6">
        <v>6969500</v>
      </c>
    </row>
    <row r="41" spans="1:3">
      <c r="A41" s="4" t="s">
        <v>1508</v>
      </c>
      <c r="B41" s="6">
        <v>8537000</v>
      </c>
    </row>
    <row r="42" spans="1:3">
      <c r="A42" s="4" t="s">
        <v>1509</v>
      </c>
      <c r="B42" s="6">
        <v>11161500</v>
      </c>
    </row>
    <row r="43" spans="1:3">
      <c r="A43" s="4" t="s">
        <v>1510</v>
      </c>
      <c r="B43" s="6">
        <v>11384000</v>
      </c>
    </row>
    <row r="44" spans="1:3">
      <c r="A44" s="4" t="s">
        <v>1511</v>
      </c>
      <c r="B44" s="6">
        <v>10343500</v>
      </c>
    </row>
    <row r="45" spans="1:3">
      <c r="A45" s="4" t="s">
        <v>1498</v>
      </c>
      <c r="B45" s="6">
        <v>125887500</v>
      </c>
    </row>
    <row r="48" spans="1:3">
      <c r="A48" s="3" t="s">
        <v>4</v>
      </c>
      <c r="B48" s="6" t="s">
        <v>1512</v>
      </c>
      <c r="C48" s="6" t="s">
        <v>1513</v>
      </c>
    </row>
    <row r="49" spans="1:3">
      <c r="A49" s="4" t="s">
        <v>41</v>
      </c>
      <c r="B49" s="6">
        <v>16171000</v>
      </c>
      <c r="C49" s="6">
        <v>3255500</v>
      </c>
    </row>
    <row r="50" spans="1:3">
      <c r="A50" s="4" t="s">
        <v>25</v>
      </c>
      <c r="B50" s="6">
        <v>14685500</v>
      </c>
      <c r="C50" s="6">
        <v>3009400</v>
      </c>
    </row>
    <row r="51" spans="1:3">
      <c r="A51" s="4" t="s">
        <v>95</v>
      </c>
      <c r="B51" s="6">
        <v>13968000</v>
      </c>
      <c r="C51" s="6">
        <v>2844000</v>
      </c>
    </row>
    <row r="52" spans="1:3">
      <c r="A52" s="4" t="s">
        <v>13</v>
      </c>
      <c r="B52" s="6">
        <v>13939500</v>
      </c>
      <c r="C52" s="6">
        <v>2887500</v>
      </c>
    </row>
    <row r="53" spans="1:3">
      <c r="A53" s="4" t="s">
        <v>66</v>
      </c>
      <c r="B53" s="6">
        <v>13823000</v>
      </c>
      <c r="C53" s="6">
        <v>2915400</v>
      </c>
    </row>
    <row r="54" spans="1:3">
      <c r="A54" s="4" t="s">
        <v>36</v>
      </c>
      <c r="B54" s="6">
        <v>12613000</v>
      </c>
      <c r="C54" s="6">
        <v>2603100</v>
      </c>
    </row>
    <row r="55" spans="1:3">
      <c r="A55" s="4" t="s">
        <v>116</v>
      </c>
      <c r="B55" s="6">
        <v>10972000</v>
      </c>
      <c r="C55" s="6">
        <v>2311700</v>
      </c>
    </row>
    <row r="56" spans="1:3">
      <c r="A56" s="4" t="s">
        <v>19</v>
      </c>
      <c r="B56" s="6">
        <v>10356000</v>
      </c>
      <c r="C56" s="6">
        <v>2160500</v>
      </c>
    </row>
    <row r="57" spans="1:3">
      <c r="A57" s="4" t="s">
        <v>30</v>
      </c>
      <c r="B57" s="6">
        <v>9849500</v>
      </c>
      <c r="C57" s="6">
        <v>2097900</v>
      </c>
    </row>
    <row r="58" spans="1:3">
      <c r="A58" s="4" t="s">
        <v>50</v>
      </c>
      <c r="B58" s="6">
        <v>9510000</v>
      </c>
      <c r="C58" s="6">
        <v>1969200</v>
      </c>
    </row>
    <row r="59" spans="1:3">
      <c r="A59" s="4" t="s">
        <v>1498</v>
      </c>
      <c r="B59" s="6">
        <v>125887500</v>
      </c>
      <c r="C59" s="6">
        <v>26054200</v>
      </c>
    </row>
  </sheetData>
  <pageMargins left="0.7" right="0.7" top="0.75" bottom="0.75" header="0.3" footer="0.3"/>
  <pageSetup paperSize="9" orientation="portrait" r:id="rId5"/>
  <drawing r:id="rId6"/>
  <extLst>
    <ext xmlns:x14="http://schemas.microsoft.com/office/spreadsheetml/2009/9/main" uri="{05C60535-1F16-4fd2-B633-F4F36F0B64E0}">
      <x14:sparklineGroups xmlns:xm="http://schemas.microsoft.com/office/excel/2006/main">
        <x14:sparklineGroup type="stacked" displayEmptyCellsAs="gap" negative="1" xr2:uid="{E10F2C22-2C5F-4739-9ED4-24BF97852112}">
          <x14:colorSeries rgb="FF376092"/>
          <x14:colorNegative rgb="FFD00000"/>
          <x14:colorAxis rgb="FF000000"/>
          <x14:colorMarkers rgb="FFD00000"/>
          <x14:colorFirst rgb="FFD00000"/>
          <x14:colorLast rgb="FFD00000"/>
          <x14:colorHigh rgb="FFD00000"/>
          <x14:colorLow rgb="FFD00000"/>
          <x14:sparklines>
            <x14:sparkline>
              <xm:f>'Pivot Table'!A19:A28</xm:f>
              <xm:sqref>A30</xm:sqref>
            </x14:sparkline>
          </x14:sparklines>
        </x14:sparklineGroup>
        <x14:sparklineGroup type="column" displayEmptyCellsAs="gap" xr2:uid="{042B3B5A-1B69-4FD3-A75E-1E8B4521E27F}">
          <x14:colorSeries rgb="FF376092"/>
          <x14:colorNegative rgb="FFD00000"/>
          <x14:colorAxis rgb="FF000000"/>
          <x14:colorMarkers rgb="FFD00000"/>
          <x14:colorFirst rgb="FFD00000"/>
          <x14:colorLast rgb="FFD00000"/>
          <x14:colorHigh rgb="FFD00000"/>
          <x14:colorLow rgb="FFD00000"/>
          <x14:sparklines>
            <x14:sparkline>
              <xm:f>'Pivot Table'!A20:A29</xm:f>
              <xm:sqref>A31</xm:sqref>
            </x14:sparkline>
          </x14:sparklines>
        </x14:sparklineGroup>
        <x14:sparklineGroup type="stacked" displayEmptyCellsAs="gap" high="1" negative="1" xr2:uid="{36CE5286-289D-40EC-A219-7CE8C0F97D73}">
          <x14:colorSeries rgb="FF323232"/>
          <x14:colorNegative rgb="FFD00000"/>
          <x14:colorAxis rgb="FF000000"/>
          <x14:colorMarkers rgb="FFD00000"/>
          <x14:colorFirst rgb="FFD00000"/>
          <x14:colorLast rgb="FFD00000"/>
          <x14:colorHigh rgb="FFD00000"/>
          <x14:colorLow rgb="FFD00000"/>
          <x14:sparklines>
            <x14:sparkline>
              <xm:f>'Pivot Table'!C49:C58</xm:f>
              <xm:sqref>C64</xm:sqref>
            </x14:sparkline>
          </x14:sparklines>
        </x14:sparklineGroup>
        <x14:sparklineGroup type="column" displayEmptyCellsAs="gap" high="1" xr2:uid="{2269296C-DF93-4F9F-B00A-1C741088AAFF}">
          <x14:colorSeries rgb="FF376092"/>
          <x14:colorNegative rgb="FFD00000"/>
          <x14:colorAxis rgb="FF000000"/>
          <x14:colorMarkers rgb="FFD00000"/>
          <x14:colorFirst rgb="FFD00000"/>
          <x14:colorLast rgb="FFD00000"/>
          <x14:colorHigh rgb="FFD00000"/>
          <x14:colorLow rgb="FFD00000"/>
          <x14:sparklines>
            <x14:sparkline>
              <xm:f>'Pivot Table'!B4:B11</xm:f>
              <xm:sqref>B14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A2" workbookViewId="0">
      <selection sqref="A1:O1001"/>
    </sheetView>
  </sheetViews>
  <sheetFormatPr defaultRowHeight="14.4"/>
  <cols>
    <col min="1" max="1" width="9.44140625" customWidth="1"/>
    <col min="3" max="3" width="11" customWidth="1"/>
    <col min="5" max="5" width="9.5546875" customWidth="1"/>
    <col min="7" max="7" width="11" customWidth="1"/>
    <col min="8" max="8" width="10.77734375" customWidth="1"/>
    <col min="9" max="9" width="13.6640625" customWidth="1"/>
    <col min="10" max="10" width="15.21875" customWidth="1"/>
    <col min="11" max="11" width="11.88671875" customWidth="1"/>
    <col min="12" max="12" width="13.21875" customWidth="1"/>
    <col min="13" max="13" width="12.6640625" customWidth="1"/>
    <col min="14" max="14" width="15.88671875" customWidth="1"/>
    <col min="15" max="15" width="16.33203125" customWidth="1"/>
  </cols>
  <sheetData>
    <row r="1" spans="1:15">
      <c r="A1" s="1" t="s">
        <v>0</v>
      </c>
      <c r="B1" s="1" t="s">
        <v>1</v>
      </c>
      <c r="C1" s="1" t="s">
        <v>2</v>
      </c>
      <c r="D1" s="1" t="s">
        <v>3</v>
      </c>
      <c r="E1" s="1" t="s">
        <v>4</v>
      </c>
      <c r="F1" s="1" t="s">
        <v>5</v>
      </c>
      <c r="G1" s="1" t="s">
        <v>6</v>
      </c>
      <c r="H1" s="1" t="s">
        <v>7</v>
      </c>
      <c r="I1" s="1" t="s">
        <v>1478</v>
      </c>
      <c r="J1" s="1" t="s">
        <v>1479</v>
      </c>
      <c r="K1" s="1" t="s">
        <v>1496</v>
      </c>
      <c r="L1" s="1" t="s">
        <v>1497</v>
      </c>
      <c r="M1" s="1" t="s">
        <v>1493</v>
      </c>
      <c r="N1" s="1" t="s">
        <v>1494</v>
      </c>
      <c r="O1" s="1" t="s">
        <v>1495</v>
      </c>
    </row>
    <row r="2" spans="1:15">
      <c r="A2" t="s">
        <v>8</v>
      </c>
      <c r="B2" t="s">
        <v>9</v>
      </c>
      <c r="C2" t="s">
        <v>10</v>
      </c>
      <c r="D2" t="s">
        <v>11</v>
      </c>
      <c r="E2" t="s">
        <v>12</v>
      </c>
      <c r="F2">
        <v>3</v>
      </c>
      <c r="G2">
        <v>150000</v>
      </c>
      <c r="H2" t="s">
        <v>13</v>
      </c>
      <c r="I2" t="str">
        <f>_xlfn.XLOOKUP(E2,'Products Master'!A:A,'Products Master'!B:B)</f>
        <v>Electronics</v>
      </c>
      <c r="J2">
        <f>_xlfn.XLOOKUP(E2,'Products Master'!A:A,'Products Master'!C:C)</f>
        <v>120000</v>
      </c>
      <c r="K2" t="str">
        <f>_xlfn.XLOOKUP(E2,'Products Master'!A:A,'Products Master'!D:D)</f>
        <v>Dell</v>
      </c>
      <c r="L2">
        <f>F2*G2</f>
        <v>450000</v>
      </c>
      <c r="M2">
        <f>F2*J2</f>
        <v>360000</v>
      </c>
      <c r="N2">
        <f>L2-M2</f>
        <v>90000</v>
      </c>
      <c r="O2" s="2">
        <f>N2/L2</f>
        <v>0.2</v>
      </c>
    </row>
    <row r="3" spans="1:15">
      <c r="A3" t="s">
        <v>14</v>
      </c>
      <c r="B3" t="s">
        <v>15</v>
      </c>
      <c r="C3" t="s">
        <v>16</v>
      </c>
      <c r="D3" t="s">
        <v>17</v>
      </c>
      <c r="E3" t="s">
        <v>18</v>
      </c>
      <c r="F3">
        <v>4</v>
      </c>
      <c r="G3">
        <v>45000</v>
      </c>
      <c r="H3" t="s">
        <v>19</v>
      </c>
      <c r="I3" t="str">
        <f>_xlfn.XLOOKUP(E3,'Products Master'!A:A,'Products Master'!B:B)</f>
        <v>Electronics</v>
      </c>
      <c r="J3">
        <f>_xlfn.XLOOKUP(E3,'Products Master'!A:A,'Products Master'!C:C)</f>
        <v>35000</v>
      </c>
      <c r="K3" t="str">
        <f>_xlfn.XLOOKUP(E3,'Products Master'!A:A,'Products Master'!D:D)</f>
        <v>HP</v>
      </c>
      <c r="L3">
        <f t="shared" ref="L3:L66" si="0">F3*G3</f>
        <v>180000</v>
      </c>
      <c r="M3">
        <f t="shared" ref="M3:M66" si="1">F3*J3</f>
        <v>140000</v>
      </c>
      <c r="N3">
        <f t="shared" ref="N3:N66" si="2">L3-M3</f>
        <v>40000</v>
      </c>
      <c r="O3" s="2">
        <f t="shared" ref="O3:O66" si="3">N3/L3</f>
        <v>0.22222222222222221</v>
      </c>
    </row>
    <row r="4" spans="1:15">
      <c r="A4" t="s">
        <v>20</v>
      </c>
      <c r="B4" t="s">
        <v>21</v>
      </c>
      <c r="C4" t="s">
        <v>22</v>
      </c>
      <c r="D4" t="s">
        <v>23</v>
      </c>
      <c r="E4" t="s">
        <v>24</v>
      </c>
      <c r="F4">
        <v>2</v>
      </c>
      <c r="G4">
        <v>2500</v>
      </c>
      <c r="H4" t="s">
        <v>25</v>
      </c>
      <c r="I4" t="str">
        <f>_xlfn.XLOOKUP(E4,'Products Master'!A:A,'Products Master'!B:B)</f>
        <v>Accessories</v>
      </c>
      <c r="J4">
        <f>_xlfn.XLOOKUP(E4,'Products Master'!A:A,'Products Master'!C:C)</f>
        <v>1500</v>
      </c>
      <c r="K4" t="str">
        <f>_xlfn.XLOOKUP(E4,'Products Master'!A:A,'Products Master'!D:D)</f>
        <v>Logitech</v>
      </c>
      <c r="L4">
        <f t="shared" si="0"/>
        <v>5000</v>
      </c>
      <c r="M4">
        <f t="shared" si="1"/>
        <v>3000</v>
      </c>
      <c r="N4">
        <f t="shared" si="2"/>
        <v>2000</v>
      </c>
      <c r="O4" s="2">
        <f t="shared" si="3"/>
        <v>0.4</v>
      </c>
    </row>
    <row r="5" spans="1:15">
      <c r="A5" t="s">
        <v>26</v>
      </c>
      <c r="B5" t="s">
        <v>27</v>
      </c>
      <c r="C5" t="s">
        <v>28</v>
      </c>
      <c r="D5" t="s">
        <v>29</v>
      </c>
      <c r="E5" t="s">
        <v>24</v>
      </c>
      <c r="F5">
        <v>5</v>
      </c>
      <c r="G5">
        <v>2500</v>
      </c>
      <c r="H5" t="s">
        <v>30</v>
      </c>
      <c r="I5" t="str">
        <f>_xlfn.XLOOKUP(E5,'Products Master'!A:A,'Products Master'!B:B)</f>
        <v>Accessories</v>
      </c>
      <c r="J5">
        <f>_xlfn.XLOOKUP(E5,'Products Master'!A:A,'Products Master'!C:C)</f>
        <v>1500</v>
      </c>
      <c r="K5" t="str">
        <f>_xlfn.XLOOKUP(E5,'Products Master'!A:A,'Products Master'!D:D)</f>
        <v>Logitech</v>
      </c>
      <c r="L5">
        <f t="shared" si="0"/>
        <v>12500</v>
      </c>
      <c r="M5">
        <f t="shared" si="1"/>
        <v>7500</v>
      </c>
      <c r="N5">
        <f t="shared" si="2"/>
        <v>5000</v>
      </c>
      <c r="O5" s="2">
        <f t="shared" si="3"/>
        <v>0.4</v>
      </c>
    </row>
    <row r="6" spans="1:15">
      <c r="A6" t="s">
        <v>31</v>
      </c>
      <c r="B6" t="s">
        <v>32</v>
      </c>
      <c r="C6" t="s">
        <v>33</v>
      </c>
      <c r="D6" t="s">
        <v>34</v>
      </c>
      <c r="E6" t="s">
        <v>35</v>
      </c>
      <c r="F6">
        <v>3</v>
      </c>
      <c r="G6">
        <v>2000</v>
      </c>
      <c r="H6" t="s">
        <v>36</v>
      </c>
      <c r="I6" t="str">
        <f>_xlfn.XLOOKUP(E6,'Products Master'!A:A,'Products Master'!B:B)</f>
        <v>Storage</v>
      </c>
      <c r="J6">
        <f>_xlfn.XLOOKUP(E6,'Products Master'!A:A,'Products Master'!C:C)</f>
        <v>1200</v>
      </c>
      <c r="K6" t="str">
        <f>_xlfn.XLOOKUP(E6,'Products Master'!A:A,'Products Master'!D:D)</f>
        <v>SanDisk</v>
      </c>
      <c r="L6">
        <f t="shared" si="0"/>
        <v>6000</v>
      </c>
      <c r="M6">
        <f t="shared" si="1"/>
        <v>3600</v>
      </c>
      <c r="N6">
        <f t="shared" si="2"/>
        <v>2400</v>
      </c>
      <c r="O6" s="2">
        <f t="shared" si="3"/>
        <v>0.4</v>
      </c>
    </row>
    <row r="7" spans="1:15">
      <c r="A7" t="s">
        <v>37</v>
      </c>
      <c r="B7" t="s">
        <v>38</v>
      </c>
      <c r="C7" t="s">
        <v>39</v>
      </c>
      <c r="D7" t="s">
        <v>34</v>
      </c>
      <c r="E7" t="s">
        <v>40</v>
      </c>
      <c r="F7">
        <v>4</v>
      </c>
      <c r="G7">
        <v>60000</v>
      </c>
      <c r="H7" t="s">
        <v>41</v>
      </c>
      <c r="I7" t="str">
        <f>_xlfn.XLOOKUP(E7,'Products Master'!A:A,'Products Master'!B:B)</f>
        <v>Electronics</v>
      </c>
      <c r="J7">
        <f>_xlfn.XLOOKUP(E7,'Products Master'!A:A,'Products Master'!C:C)</f>
        <v>50000</v>
      </c>
      <c r="K7" t="str">
        <f>_xlfn.XLOOKUP(E7,'Products Master'!A:A,'Products Master'!D:D)</f>
        <v>LG</v>
      </c>
      <c r="L7">
        <f t="shared" si="0"/>
        <v>240000</v>
      </c>
      <c r="M7">
        <f t="shared" si="1"/>
        <v>200000</v>
      </c>
      <c r="N7">
        <f t="shared" si="2"/>
        <v>40000</v>
      </c>
      <c r="O7" s="2">
        <f t="shared" si="3"/>
        <v>0.16666666666666666</v>
      </c>
    </row>
    <row r="8" spans="1:15">
      <c r="A8" t="s">
        <v>42</v>
      </c>
      <c r="B8" t="s">
        <v>43</v>
      </c>
      <c r="C8" t="s">
        <v>44</v>
      </c>
      <c r="D8" t="s">
        <v>45</v>
      </c>
      <c r="E8" t="s">
        <v>18</v>
      </c>
      <c r="F8">
        <v>2</v>
      </c>
      <c r="G8">
        <v>45000</v>
      </c>
      <c r="H8" t="s">
        <v>30</v>
      </c>
      <c r="I8" t="str">
        <f>_xlfn.XLOOKUP(E8,'Products Master'!A:A,'Products Master'!B:B)</f>
        <v>Electronics</v>
      </c>
      <c r="J8">
        <f>_xlfn.XLOOKUP(E8,'Products Master'!A:A,'Products Master'!C:C)</f>
        <v>35000</v>
      </c>
      <c r="K8" t="str">
        <f>_xlfn.XLOOKUP(E8,'Products Master'!A:A,'Products Master'!D:D)</f>
        <v>HP</v>
      </c>
      <c r="L8">
        <f t="shared" si="0"/>
        <v>90000</v>
      </c>
      <c r="M8">
        <f t="shared" si="1"/>
        <v>70000</v>
      </c>
      <c r="N8">
        <f t="shared" si="2"/>
        <v>20000</v>
      </c>
      <c r="O8" s="2">
        <f t="shared" si="3"/>
        <v>0.22222222222222221</v>
      </c>
    </row>
    <row r="9" spans="1:15">
      <c r="A9" t="s">
        <v>46</v>
      </c>
      <c r="B9" t="s">
        <v>47</v>
      </c>
      <c r="C9" t="s">
        <v>48</v>
      </c>
      <c r="D9" t="s">
        <v>45</v>
      </c>
      <c r="E9" t="s">
        <v>49</v>
      </c>
      <c r="F9">
        <v>4</v>
      </c>
      <c r="G9">
        <v>9500</v>
      </c>
      <c r="H9" t="s">
        <v>50</v>
      </c>
      <c r="I9" t="str">
        <f>_xlfn.XLOOKUP(E9,'Products Master'!A:A,'Products Master'!B:B)</f>
        <v>Accessories</v>
      </c>
      <c r="J9">
        <f>_xlfn.XLOOKUP(E9,'Products Master'!A:A,'Products Master'!C:C)</f>
        <v>7000</v>
      </c>
      <c r="K9" t="str">
        <f>_xlfn.XLOOKUP(E9,'Products Master'!A:A,'Products Master'!D:D)</f>
        <v>Logitech</v>
      </c>
      <c r="L9">
        <f t="shared" si="0"/>
        <v>38000</v>
      </c>
      <c r="M9">
        <f t="shared" si="1"/>
        <v>28000</v>
      </c>
      <c r="N9">
        <f t="shared" si="2"/>
        <v>10000</v>
      </c>
      <c r="O9" s="2">
        <f t="shared" si="3"/>
        <v>0.26315789473684209</v>
      </c>
    </row>
    <row r="10" spans="1:15">
      <c r="A10" t="s">
        <v>51</v>
      </c>
      <c r="B10" t="s">
        <v>52</v>
      </c>
      <c r="C10" t="s">
        <v>53</v>
      </c>
      <c r="D10" t="s">
        <v>45</v>
      </c>
      <c r="E10" t="s">
        <v>54</v>
      </c>
      <c r="F10">
        <v>2</v>
      </c>
      <c r="G10">
        <v>7000</v>
      </c>
      <c r="H10" t="s">
        <v>13</v>
      </c>
      <c r="I10" t="str">
        <f>_xlfn.XLOOKUP(E10,'Products Master'!A:A,'Products Master'!B:B)</f>
        <v>Accessories</v>
      </c>
      <c r="J10">
        <f>_xlfn.XLOOKUP(E10,'Products Master'!A:A,'Products Master'!C:C)</f>
        <v>5000</v>
      </c>
      <c r="K10" t="str">
        <f>_xlfn.XLOOKUP(E10,'Products Master'!A:A,'Products Master'!D:D)</f>
        <v>Sony</v>
      </c>
      <c r="L10">
        <f t="shared" si="0"/>
        <v>14000</v>
      </c>
      <c r="M10">
        <f t="shared" si="1"/>
        <v>10000</v>
      </c>
      <c r="N10">
        <f t="shared" si="2"/>
        <v>4000</v>
      </c>
      <c r="O10" s="2">
        <f t="shared" si="3"/>
        <v>0.2857142857142857</v>
      </c>
    </row>
    <row r="11" spans="1:15">
      <c r="A11" t="s">
        <v>55</v>
      </c>
      <c r="B11" t="s">
        <v>56</v>
      </c>
      <c r="C11" t="s">
        <v>57</v>
      </c>
      <c r="D11" t="s">
        <v>17</v>
      </c>
      <c r="E11" t="s">
        <v>24</v>
      </c>
      <c r="F11">
        <v>1</v>
      </c>
      <c r="G11">
        <v>2500</v>
      </c>
      <c r="H11" t="s">
        <v>13</v>
      </c>
      <c r="I11" t="str">
        <f>_xlfn.XLOOKUP(E11,'Products Master'!A:A,'Products Master'!B:B)</f>
        <v>Accessories</v>
      </c>
      <c r="J11">
        <f>_xlfn.XLOOKUP(E11,'Products Master'!A:A,'Products Master'!C:C)</f>
        <v>1500</v>
      </c>
      <c r="K11" t="str">
        <f>_xlfn.XLOOKUP(E11,'Products Master'!A:A,'Products Master'!D:D)</f>
        <v>Logitech</v>
      </c>
      <c r="L11">
        <f t="shared" si="0"/>
        <v>2500</v>
      </c>
      <c r="M11">
        <f t="shared" si="1"/>
        <v>1500</v>
      </c>
      <c r="N11">
        <f t="shared" si="2"/>
        <v>1000</v>
      </c>
      <c r="O11" s="2">
        <f t="shared" si="3"/>
        <v>0.4</v>
      </c>
    </row>
    <row r="12" spans="1:15">
      <c r="A12" t="s">
        <v>58</v>
      </c>
      <c r="B12" t="s">
        <v>59</v>
      </c>
      <c r="C12" t="s">
        <v>60</v>
      </c>
      <c r="D12" t="s">
        <v>11</v>
      </c>
      <c r="E12" t="s">
        <v>54</v>
      </c>
      <c r="F12">
        <v>1</v>
      </c>
      <c r="G12">
        <v>7000</v>
      </c>
      <c r="H12" t="s">
        <v>13</v>
      </c>
      <c r="I12" t="str">
        <f>_xlfn.XLOOKUP(E12,'Products Master'!A:A,'Products Master'!B:B)</f>
        <v>Accessories</v>
      </c>
      <c r="J12">
        <f>_xlfn.XLOOKUP(E12,'Products Master'!A:A,'Products Master'!C:C)</f>
        <v>5000</v>
      </c>
      <c r="K12" t="str">
        <f>_xlfn.XLOOKUP(E12,'Products Master'!A:A,'Products Master'!D:D)</f>
        <v>Sony</v>
      </c>
      <c r="L12">
        <f t="shared" si="0"/>
        <v>7000</v>
      </c>
      <c r="M12">
        <f t="shared" si="1"/>
        <v>5000</v>
      </c>
      <c r="N12">
        <f t="shared" si="2"/>
        <v>2000</v>
      </c>
      <c r="O12" s="2">
        <f t="shared" si="3"/>
        <v>0.2857142857142857</v>
      </c>
    </row>
    <row r="13" spans="1:15">
      <c r="A13" t="s">
        <v>61</v>
      </c>
      <c r="B13" t="s">
        <v>62</v>
      </c>
      <c r="C13" t="s">
        <v>63</v>
      </c>
      <c r="D13" t="s">
        <v>17</v>
      </c>
      <c r="E13" t="s">
        <v>54</v>
      </c>
      <c r="F13">
        <v>2</v>
      </c>
      <c r="G13">
        <v>7000</v>
      </c>
      <c r="H13" t="s">
        <v>50</v>
      </c>
      <c r="I13" t="str">
        <f>_xlfn.XLOOKUP(E13,'Products Master'!A:A,'Products Master'!B:B)</f>
        <v>Accessories</v>
      </c>
      <c r="J13">
        <f>_xlfn.XLOOKUP(E13,'Products Master'!A:A,'Products Master'!C:C)</f>
        <v>5000</v>
      </c>
      <c r="K13" t="str">
        <f>_xlfn.XLOOKUP(E13,'Products Master'!A:A,'Products Master'!D:D)</f>
        <v>Sony</v>
      </c>
      <c r="L13">
        <f t="shared" si="0"/>
        <v>14000</v>
      </c>
      <c r="M13">
        <f t="shared" si="1"/>
        <v>10000</v>
      </c>
      <c r="N13">
        <f t="shared" si="2"/>
        <v>4000</v>
      </c>
      <c r="O13" s="2">
        <f t="shared" si="3"/>
        <v>0.2857142857142857</v>
      </c>
    </row>
    <row r="14" spans="1:15">
      <c r="A14" t="s">
        <v>64</v>
      </c>
      <c r="B14" t="s">
        <v>65</v>
      </c>
      <c r="C14" t="s">
        <v>33</v>
      </c>
      <c r="D14" t="s">
        <v>45</v>
      </c>
      <c r="E14" t="s">
        <v>18</v>
      </c>
      <c r="F14">
        <v>5</v>
      </c>
      <c r="G14">
        <v>45000</v>
      </c>
      <c r="H14" t="s">
        <v>66</v>
      </c>
      <c r="I14" t="str">
        <f>_xlfn.XLOOKUP(E14,'Products Master'!A:A,'Products Master'!B:B)</f>
        <v>Electronics</v>
      </c>
      <c r="J14">
        <f>_xlfn.XLOOKUP(E14,'Products Master'!A:A,'Products Master'!C:C)</f>
        <v>35000</v>
      </c>
      <c r="K14" t="str">
        <f>_xlfn.XLOOKUP(E14,'Products Master'!A:A,'Products Master'!D:D)</f>
        <v>HP</v>
      </c>
      <c r="L14">
        <f t="shared" si="0"/>
        <v>225000</v>
      </c>
      <c r="M14">
        <f t="shared" si="1"/>
        <v>175000</v>
      </c>
      <c r="N14">
        <f t="shared" si="2"/>
        <v>50000</v>
      </c>
      <c r="O14" s="2">
        <f t="shared" si="3"/>
        <v>0.22222222222222221</v>
      </c>
    </row>
    <row r="15" spans="1:15">
      <c r="A15" t="s">
        <v>67</v>
      </c>
      <c r="B15" t="s">
        <v>68</v>
      </c>
      <c r="C15" t="s">
        <v>69</v>
      </c>
      <c r="D15" t="s">
        <v>17</v>
      </c>
      <c r="E15" t="s">
        <v>18</v>
      </c>
      <c r="F15">
        <v>2</v>
      </c>
      <c r="G15">
        <v>45000</v>
      </c>
      <c r="H15" t="s">
        <v>19</v>
      </c>
      <c r="I15" t="str">
        <f>_xlfn.XLOOKUP(E15,'Products Master'!A:A,'Products Master'!B:B)</f>
        <v>Electronics</v>
      </c>
      <c r="J15">
        <f>_xlfn.XLOOKUP(E15,'Products Master'!A:A,'Products Master'!C:C)</f>
        <v>35000</v>
      </c>
      <c r="K15" t="str">
        <f>_xlfn.XLOOKUP(E15,'Products Master'!A:A,'Products Master'!D:D)</f>
        <v>HP</v>
      </c>
      <c r="L15">
        <f t="shared" si="0"/>
        <v>90000</v>
      </c>
      <c r="M15">
        <f t="shared" si="1"/>
        <v>70000</v>
      </c>
      <c r="N15">
        <f t="shared" si="2"/>
        <v>20000</v>
      </c>
      <c r="O15" s="2">
        <f t="shared" si="3"/>
        <v>0.22222222222222221</v>
      </c>
    </row>
    <row r="16" spans="1:15">
      <c r="A16" t="s">
        <v>70</v>
      </c>
      <c r="B16" t="s">
        <v>71</v>
      </c>
      <c r="C16" t="s">
        <v>72</v>
      </c>
      <c r="D16" t="s">
        <v>29</v>
      </c>
      <c r="E16" t="s">
        <v>49</v>
      </c>
      <c r="F16">
        <v>1</v>
      </c>
      <c r="G16">
        <v>9500</v>
      </c>
      <c r="H16" t="s">
        <v>66</v>
      </c>
      <c r="I16" t="str">
        <f>_xlfn.XLOOKUP(E16,'Products Master'!A:A,'Products Master'!B:B)</f>
        <v>Accessories</v>
      </c>
      <c r="J16">
        <f>_xlfn.XLOOKUP(E16,'Products Master'!A:A,'Products Master'!C:C)</f>
        <v>7000</v>
      </c>
      <c r="K16" t="str">
        <f>_xlfn.XLOOKUP(E16,'Products Master'!A:A,'Products Master'!D:D)</f>
        <v>Logitech</v>
      </c>
      <c r="L16">
        <f t="shared" si="0"/>
        <v>9500</v>
      </c>
      <c r="M16">
        <f t="shared" si="1"/>
        <v>7000</v>
      </c>
      <c r="N16">
        <f t="shared" si="2"/>
        <v>2500</v>
      </c>
      <c r="O16" s="2">
        <f t="shared" si="3"/>
        <v>0.26315789473684209</v>
      </c>
    </row>
    <row r="17" spans="1:15">
      <c r="A17" t="s">
        <v>73</v>
      </c>
      <c r="B17" t="s">
        <v>32</v>
      </c>
      <c r="C17" t="s">
        <v>74</v>
      </c>
      <c r="D17" t="s">
        <v>29</v>
      </c>
      <c r="E17" t="s">
        <v>35</v>
      </c>
      <c r="F17">
        <v>1</v>
      </c>
      <c r="G17">
        <v>2000</v>
      </c>
      <c r="H17" t="s">
        <v>30</v>
      </c>
      <c r="I17" t="str">
        <f>_xlfn.XLOOKUP(E17,'Products Master'!A:A,'Products Master'!B:B)</f>
        <v>Storage</v>
      </c>
      <c r="J17">
        <f>_xlfn.XLOOKUP(E17,'Products Master'!A:A,'Products Master'!C:C)</f>
        <v>1200</v>
      </c>
      <c r="K17" t="str">
        <f>_xlfn.XLOOKUP(E17,'Products Master'!A:A,'Products Master'!D:D)</f>
        <v>SanDisk</v>
      </c>
      <c r="L17">
        <f t="shared" si="0"/>
        <v>2000</v>
      </c>
      <c r="M17">
        <f t="shared" si="1"/>
        <v>1200</v>
      </c>
      <c r="N17">
        <f t="shared" si="2"/>
        <v>800</v>
      </c>
      <c r="O17" s="2">
        <f t="shared" si="3"/>
        <v>0.4</v>
      </c>
    </row>
    <row r="18" spans="1:15">
      <c r="A18" t="s">
        <v>75</v>
      </c>
      <c r="B18" t="s">
        <v>76</v>
      </c>
      <c r="C18" t="s">
        <v>77</v>
      </c>
      <c r="D18" t="s">
        <v>11</v>
      </c>
      <c r="E18" t="s">
        <v>24</v>
      </c>
      <c r="F18">
        <v>1</v>
      </c>
      <c r="G18">
        <v>2500</v>
      </c>
      <c r="H18" t="s">
        <v>41</v>
      </c>
      <c r="I18" t="str">
        <f>_xlfn.XLOOKUP(E18,'Products Master'!A:A,'Products Master'!B:B)</f>
        <v>Accessories</v>
      </c>
      <c r="J18">
        <f>_xlfn.XLOOKUP(E18,'Products Master'!A:A,'Products Master'!C:C)</f>
        <v>1500</v>
      </c>
      <c r="K18" t="str">
        <f>_xlfn.XLOOKUP(E18,'Products Master'!A:A,'Products Master'!D:D)</f>
        <v>Logitech</v>
      </c>
      <c r="L18">
        <f t="shared" si="0"/>
        <v>2500</v>
      </c>
      <c r="M18">
        <f t="shared" si="1"/>
        <v>1500</v>
      </c>
      <c r="N18">
        <f t="shared" si="2"/>
        <v>1000</v>
      </c>
      <c r="O18" s="2">
        <f t="shared" si="3"/>
        <v>0.4</v>
      </c>
    </row>
    <row r="19" spans="1:15">
      <c r="A19" t="s">
        <v>78</v>
      </c>
      <c r="B19" t="s">
        <v>79</v>
      </c>
      <c r="C19" t="s">
        <v>80</v>
      </c>
      <c r="D19" t="s">
        <v>11</v>
      </c>
      <c r="E19" t="s">
        <v>35</v>
      </c>
      <c r="F19">
        <v>1</v>
      </c>
      <c r="G19">
        <v>2000</v>
      </c>
      <c r="H19" t="s">
        <v>50</v>
      </c>
      <c r="I19" t="str">
        <f>_xlfn.XLOOKUP(E19,'Products Master'!A:A,'Products Master'!B:B)</f>
        <v>Storage</v>
      </c>
      <c r="J19">
        <f>_xlfn.XLOOKUP(E19,'Products Master'!A:A,'Products Master'!C:C)</f>
        <v>1200</v>
      </c>
      <c r="K19" t="str">
        <f>_xlfn.XLOOKUP(E19,'Products Master'!A:A,'Products Master'!D:D)</f>
        <v>SanDisk</v>
      </c>
      <c r="L19">
        <f t="shared" si="0"/>
        <v>2000</v>
      </c>
      <c r="M19">
        <f t="shared" si="1"/>
        <v>1200</v>
      </c>
      <c r="N19">
        <f t="shared" si="2"/>
        <v>800</v>
      </c>
      <c r="O19" s="2">
        <f t="shared" si="3"/>
        <v>0.4</v>
      </c>
    </row>
    <row r="20" spans="1:15">
      <c r="A20" t="s">
        <v>81</v>
      </c>
      <c r="B20" t="s">
        <v>82</v>
      </c>
      <c r="C20" t="s">
        <v>83</v>
      </c>
      <c r="D20" t="s">
        <v>45</v>
      </c>
      <c r="E20" t="s">
        <v>35</v>
      </c>
      <c r="F20">
        <v>1</v>
      </c>
      <c r="G20">
        <v>2000</v>
      </c>
      <c r="H20" t="s">
        <v>13</v>
      </c>
      <c r="I20" t="str">
        <f>_xlfn.XLOOKUP(E20,'Products Master'!A:A,'Products Master'!B:B)</f>
        <v>Storage</v>
      </c>
      <c r="J20">
        <f>_xlfn.XLOOKUP(E20,'Products Master'!A:A,'Products Master'!C:C)</f>
        <v>1200</v>
      </c>
      <c r="K20" t="str">
        <f>_xlfn.XLOOKUP(E20,'Products Master'!A:A,'Products Master'!D:D)</f>
        <v>SanDisk</v>
      </c>
      <c r="L20">
        <f t="shared" si="0"/>
        <v>2000</v>
      </c>
      <c r="M20">
        <f t="shared" si="1"/>
        <v>1200</v>
      </c>
      <c r="N20">
        <f t="shared" si="2"/>
        <v>800</v>
      </c>
      <c r="O20" s="2">
        <f t="shared" si="3"/>
        <v>0.4</v>
      </c>
    </row>
    <row r="21" spans="1:15">
      <c r="A21" t="s">
        <v>84</v>
      </c>
      <c r="B21" t="s">
        <v>85</v>
      </c>
      <c r="C21" t="s">
        <v>74</v>
      </c>
      <c r="D21" t="s">
        <v>29</v>
      </c>
      <c r="E21" t="s">
        <v>18</v>
      </c>
      <c r="F21">
        <v>5</v>
      </c>
      <c r="G21">
        <v>45000</v>
      </c>
      <c r="H21" t="s">
        <v>50</v>
      </c>
      <c r="I21" t="str">
        <f>_xlfn.XLOOKUP(E21,'Products Master'!A:A,'Products Master'!B:B)</f>
        <v>Electronics</v>
      </c>
      <c r="J21">
        <f>_xlfn.XLOOKUP(E21,'Products Master'!A:A,'Products Master'!C:C)</f>
        <v>35000</v>
      </c>
      <c r="K21" t="str">
        <f>_xlfn.XLOOKUP(E21,'Products Master'!A:A,'Products Master'!D:D)</f>
        <v>HP</v>
      </c>
      <c r="L21">
        <f t="shared" si="0"/>
        <v>225000</v>
      </c>
      <c r="M21">
        <f t="shared" si="1"/>
        <v>175000</v>
      </c>
      <c r="N21">
        <f t="shared" si="2"/>
        <v>50000</v>
      </c>
      <c r="O21" s="2">
        <f t="shared" si="3"/>
        <v>0.22222222222222221</v>
      </c>
    </row>
    <row r="22" spans="1:15">
      <c r="A22" t="s">
        <v>86</v>
      </c>
      <c r="B22" t="s">
        <v>87</v>
      </c>
      <c r="C22" t="s">
        <v>88</v>
      </c>
      <c r="D22" t="s">
        <v>34</v>
      </c>
      <c r="E22" t="s">
        <v>40</v>
      </c>
      <c r="F22">
        <v>1</v>
      </c>
      <c r="G22">
        <v>60000</v>
      </c>
      <c r="H22" t="s">
        <v>13</v>
      </c>
      <c r="I22" t="str">
        <f>_xlfn.XLOOKUP(E22,'Products Master'!A:A,'Products Master'!B:B)</f>
        <v>Electronics</v>
      </c>
      <c r="J22">
        <f>_xlfn.XLOOKUP(E22,'Products Master'!A:A,'Products Master'!C:C)</f>
        <v>50000</v>
      </c>
      <c r="K22" t="str">
        <f>_xlfn.XLOOKUP(E22,'Products Master'!A:A,'Products Master'!D:D)</f>
        <v>LG</v>
      </c>
      <c r="L22">
        <f t="shared" si="0"/>
        <v>60000</v>
      </c>
      <c r="M22">
        <f t="shared" si="1"/>
        <v>50000</v>
      </c>
      <c r="N22">
        <f t="shared" si="2"/>
        <v>10000</v>
      </c>
      <c r="O22" s="2">
        <f t="shared" si="3"/>
        <v>0.16666666666666666</v>
      </c>
    </row>
    <row r="23" spans="1:15">
      <c r="A23" t="s">
        <v>89</v>
      </c>
      <c r="B23" t="s">
        <v>90</v>
      </c>
      <c r="C23" t="s">
        <v>91</v>
      </c>
      <c r="D23" t="s">
        <v>23</v>
      </c>
      <c r="E23" t="s">
        <v>35</v>
      </c>
      <c r="F23">
        <v>2</v>
      </c>
      <c r="G23">
        <v>2000</v>
      </c>
      <c r="H23" t="s">
        <v>36</v>
      </c>
      <c r="I23" t="str">
        <f>_xlfn.XLOOKUP(E23,'Products Master'!A:A,'Products Master'!B:B)</f>
        <v>Storage</v>
      </c>
      <c r="J23">
        <f>_xlfn.XLOOKUP(E23,'Products Master'!A:A,'Products Master'!C:C)</f>
        <v>1200</v>
      </c>
      <c r="K23" t="str">
        <f>_xlfn.XLOOKUP(E23,'Products Master'!A:A,'Products Master'!D:D)</f>
        <v>SanDisk</v>
      </c>
      <c r="L23">
        <f t="shared" si="0"/>
        <v>4000</v>
      </c>
      <c r="M23">
        <f t="shared" si="1"/>
        <v>2400</v>
      </c>
      <c r="N23">
        <f t="shared" si="2"/>
        <v>1600</v>
      </c>
      <c r="O23" s="2">
        <f t="shared" si="3"/>
        <v>0.4</v>
      </c>
    </row>
    <row r="24" spans="1:15">
      <c r="A24" t="s">
        <v>92</v>
      </c>
      <c r="B24" t="s">
        <v>93</v>
      </c>
      <c r="C24" t="s">
        <v>94</v>
      </c>
      <c r="D24" t="s">
        <v>23</v>
      </c>
      <c r="E24" t="s">
        <v>12</v>
      </c>
      <c r="F24">
        <v>4</v>
      </c>
      <c r="G24">
        <v>150000</v>
      </c>
      <c r="H24" t="s">
        <v>95</v>
      </c>
      <c r="I24" t="str">
        <f>_xlfn.XLOOKUP(E24,'Products Master'!A:A,'Products Master'!B:B)</f>
        <v>Electronics</v>
      </c>
      <c r="J24">
        <f>_xlfn.XLOOKUP(E24,'Products Master'!A:A,'Products Master'!C:C)</f>
        <v>120000</v>
      </c>
      <c r="K24" t="str">
        <f>_xlfn.XLOOKUP(E24,'Products Master'!A:A,'Products Master'!D:D)</f>
        <v>Dell</v>
      </c>
      <c r="L24">
        <f t="shared" si="0"/>
        <v>600000</v>
      </c>
      <c r="M24">
        <f t="shared" si="1"/>
        <v>480000</v>
      </c>
      <c r="N24">
        <f t="shared" si="2"/>
        <v>120000</v>
      </c>
      <c r="O24" s="2">
        <f t="shared" si="3"/>
        <v>0.2</v>
      </c>
    </row>
    <row r="25" spans="1:15">
      <c r="A25" t="s">
        <v>96</v>
      </c>
      <c r="B25" t="s">
        <v>97</v>
      </c>
      <c r="C25" t="s">
        <v>98</v>
      </c>
      <c r="D25" t="s">
        <v>29</v>
      </c>
      <c r="E25" t="s">
        <v>99</v>
      </c>
      <c r="F25">
        <v>5</v>
      </c>
      <c r="G25">
        <v>5000</v>
      </c>
      <c r="H25" t="s">
        <v>19</v>
      </c>
      <c r="I25" t="str">
        <f>_xlfn.XLOOKUP(E25,'Products Master'!A:A,'Products Master'!B:B)</f>
        <v>Accessories</v>
      </c>
      <c r="J25">
        <f>_xlfn.XLOOKUP(E25,'Products Master'!A:A,'Products Master'!C:C)</f>
        <v>3500</v>
      </c>
      <c r="K25" t="str">
        <f>_xlfn.XLOOKUP(E25,'Products Master'!A:A,'Products Master'!D:D)</f>
        <v>Logitech</v>
      </c>
      <c r="L25">
        <f t="shared" si="0"/>
        <v>25000</v>
      </c>
      <c r="M25">
        <f t="shared" si="1"/>
        <v>17500</v>
      </c>
      <c r="N25">
        <f t="shared" si="2"/>
        <v>7500</v>
      </c>
      <c r="O25" s="2">
        <f t="shared" si="3"/>
        <v>0.3</v>
      </c>
    </row>
    <row r="26" spans="1:15">
      <c r="A26" t="s">
        <v>100</v>
      </c>
      <c r="B26" t="s">
        <v>85</v>
      </c>
      <c r="C26" t="s">
        <v>101</v>
      </c>
      <c r="D26" t="s">
        <v>34</v>
      </c>
      <c r="E26" t="s">
        <v>99</v>
      </c>
      <c r="F26">
        <v>1</v>
      </c>
      <c r="G26">
        <v>5000</v>
      </c>
      <c r="H26" t="s">
        <v>13</v>
      </c>
      <c r="I26" t="str">
        <f>_xlfn.XLOOKUP(E26,'Products Master'!A:A,'Products Master'!B:B)</f>
        <v>Accessories</v>
      </c>
      <c r="J26">
        <f>_xlfn.XLOOKUP(E26,'Products Master'!A:A,'Products Master'!C:C)</f>
        <v>3500</v>
      </c>
      <c r="K26" t="str">
        <f>_xlfn.XLOOKUP(E26,'Products Master'!A:A,'Products Master'!D:D)</f>
        <v>Logitech</v>
      </c>
      <c r="L26">
        <f t="shared" si="0"/>
        <v>5000</v>
      </c>
      <c r="M26">
        <f t="shared" si="1"/>
        <v>3500</v>
      </c>
      <c r="N26">
        <f t="shared" si="2"/>
        <v>1500</v>
      </c>
      <c r="O26" s="2">
        <f t="shared" si="3"/>
        <v>0.3</v>
      </c>
    </row>
    <row r="27" spans="1:15">
      <c r="A27" t="s">
        <v>102</v>
      </c>
      <c r="B27" t="s">
        <v>103</v>
      </c>
      <c r="C27" t="s">
        <v>104</v>
      </c>
      <c r="D27" t="s">
        <v>17</v>
      </c>
      <c r="E27" t="s">
        <v>35</v>
      </c>
      <c r="F27">
        <v>3</v>
      </c>
      <c r="G27">
        <v>2000</v>
      </c>
      <c r="H27" t="s">
        <v>95</v>
      </c>
      <c r="I27" t="str">
        <f>_xlfn.XLOOKUP(E27,'Products Master'!A:A,'Products Master'!B:B)</f>
        <v>Storage</v>
      </c>
      <c r="J27">
        <f>_xlfn.XLOOKUP(E27,'Products Master'!A:A,'Products Master'!C:C)</f>
        <v>1200</v>
      </c>
      <c r="K27" t="str">
        <f>_xlfn.XLOOKUP(E27,'Products Master'!A:A,'Products Master'!D:D)</f>
        <v>SanDisk</v>
      </c>
      <c r="L27">
        <f t="shared" si="0"/>
        <v>6000</v>
      </c>
      <c r="M27">
        <f t="shared" si="1"/>
        <v>3600</v>
      </c>
      <c r="N27">
        <f t="shared" si="2"/>
        <v>2400</v>
      </c>
      <c r="O27" s="2">
        <f t="shared" si="3"/>
        <v>0.4</v>
      </c>
    </row>
    <row r="28" spans="1:15">
      <c r="A28" t="s">
        <v>105</v>
      </c>
      <c r="B28" t="s">
        <v>106</v>
      </c>
      <c r="C28" t="s">
        <v>107</v>
      </c>
      <c r="D28" t="s">
        <v>23</v>
      </c>
      <c r="E28" t="s">
        <v>49</v>
      </c>
      <c r="F28">
        <v>2</v>
      </c>
      <c r="G28">
        <v>9500</v>
      </c>
      <c r="H28" t="s">
        <v>30</v>
      </c>
      <c r="I28" t="str">
        <f>_xlfn.XLOOKUP(E28,'Products Master'!A:A,'Products Master'!B:B)</f>
        <v>Accessories</v>
      </c>
      <c r="J28">
        <f>_xlfn.XLOOKUP(E28,'Products Master'!A:A,'Products Master'!C:C)</f>
        <v>7000</v>
      </c>
      <c r="K28" t="str">
        <f>_xlfn.XLOOKUP(E28,'Products Master'!A:A,'Products Master'!D:D)</f>
        <v>Logitech</v>
      </c>
      <c r="L28">
        <f t="shared" si="0"/>
        <v>19000</v>
      </c>
      <c r="M28">
        <f t="shared" si="1"/>
        <v>14000</v>
      </c>
      <c r="N28">
        <f t="shared" si="2"/>
        <v>5000</v>
      </c>
      <c r="O28" s="2">
        <f t="shared" si="3"/>
        <v>0.26315789473684209</v>
      </c>
    </row>
    <row r="29" spans="1:15">
      <c r="A29" t="s">
        <v>108</v>
      </c>
      <c r="B29" t="s">
        <v>109</v>
      </c>
      <c r="C29" t="s">
        <v>110</v>
      </c>
      <c r="D29" t="s">
        <v>111</v>
      </c>
      <c r="E29" t="s">
        <v>99</v>
      </c>
      <c r="F29">
        <v>1</v>
      </c>
      <c r="G29">
        <v>5000</v>
      </c>
      <c r="H29" t="s">
        <v>30</v>
      </c>
      <c r="I29" t="str">
        <f>_xlfn.XLOOKUP(E29,'Products Master'!A:A,'Products Master'!B:B)</f>
        <v>Accessories</v>
      </c>
      <c r="J29">
        <f>_xlfn.XLOOKUP(E29,'Products Master'!A:A,'Products Master'!C:C)</f>
        <v>3500</v>
      </c>
      <c r="K29" t="str">
        <f>_xlfn.XLOOKUP(E29,'Products Master'!A:A,'Products Master'!D:D)</f>
        <v>Logitech</v>
      </c>
      <c r="L29">
        <f t="shared" si="0"/>
        <v>5000</v>
      </c>
      <c r="M29">
        <f t="shared" si="1"/>
        <v>3500</v>
      </c>
      <c r="N29">
        <f t="shared" si="2"/>
        <v>1500</v>
      </c>
      <c r="O29" s="2">
        <f t="shared" si="3"/>
        <v>0.3</v>
      </c>
    </row>
    <row r="30" spans="1:15">
      <c r="A30" t="s">
        <v>112</v>
      </c>
      <c r="B30" t="s">
        <v>113</v>
      </c>
      <c r="C30" t="s">
        <v>114</v>
      </c>
      <c r="D30" t="s">
        <v>115</v>
      </c>
      <c r="E30" t="s">
        <v>12</v>
      </c>
      <c r="F30">
        <v>5</v>
      </c>
      <c r="G30">
        <v>150000</v>
      </c>
      <c r="H30" t="s">
        <v>116</v>
      </c>
      <c r="I30" t="str">
        <f>_xlfn.XLOOKUP(E30,'Products Master'!A:A,'Products Master'!B:B)</f>
        <v>Electronics</v>
      </c>
      <c r="J30">
        <f>_xlfn.XLOOKUP(E30,'Products Master'!A:A,'Products Master'!C:C)</f>
        <v>120000</v>
      </c>
      <c r="K30" t="str">
        <f>_xlfn.XLOOKUP(E30,'Products Master'!A:A,'Products Master'!D:D)</f>
        <v>Dell</v>
      </c>
      <c r="L30">
        <f t="shared" si="0"/>
        <v>750000</v>
      </c>
      <c r="M30">
        <f t="shared" si="1"/>
        <v>600000</v>
      </c>
      <c r="N30">
        <f t="shared" si="2"/>
        <v>150000</v>
      </c>
      <c r="O30" s="2">
        <f t="shared" si="3"/>
        <v>0.2</v>
      </c>
    </row>
    <row r="31" spans="1:15">
      <c r="A31" t="s">
        <v>117</v>
      </c>
      <c r="B31" t="s">
        <v>118</v>
      </c>
      <c r="C31" t="s">
        <v>119</v>
      </c>
      <c r="D31" t="s">
        <v>45</v>
      </c>
      <c r="E31" t="s">
        <v>99</v>
      </c>
      <c r="F31">
        <v>3</v>
      </c>
      <c r="G31">
        <v>5000</v>
      </c>
      <c r="H31" t="s">
        <v>25</v>
      </c>
      <c r="I31" t="str">
        <f>_xlfn.XLOOKUP(E31,'Products Master'!A:A,'Products Master'!B:B)</f>
        <v>Accessories</v>
      </c>
      <c r="J31">
        <f>_xlfn.XLOOKUP(E31,'Products Master'!A:A,'Products Master'!C:C)</f>
        <v>3500</v>
      </c>
      <c r="K31" t="str">
        <f>_xlfn.XLOOKUP(E31,'Products Master'!A:A,'Products Master'!D:D)</f>
        <v>Logitech</v>
      </c>
      <c r="L31">
        <f t="shared" si="0"/>
        <v>15000</v>
      </c>
      <c r="M31">
        <f t="shared" si="1"/>
        <v>10500</v>
      </c>
      <c r="N31">
        <f t="shared" si="2"/>
        <v>4500</v>
      </c>
      <c r="O31" s="2">
        <f t="shared" si="3"/>
        <v>0.3</v>
      </c>
    </row>
    <row r="32" spans="1:15">
      <c r="A32" t="s">
        <v>120</v>
      </c>
      <c r="B32" t="s">
        <v>121</v>
      </c>
      <c r="C32" t="s">
        <v>110</v>
      </c>
      <c r="D32" t="s">
        <v>34</v>
      </c>
      <c r="E32" t="s">
        <v>12</v>
      </c>
      <c r="F32">
        <v>3</v>
      </c>
      <c r="G32">
        <v>150000</v>
      </c>
      <c r="H32" t="s">
        <v>66</v>
      </c>
      <c r="I32" t="str">
        <f>_xlfn.XLOOKUP(E32,'Products Master'!A:A,'Products Master'!B:B)</f>
        <v>Electronics</v>
      </c>
      <c r="J32">
        <f>_xlfn.XLOOKUP(E32,'Products Master'!A:A,'Products Master'!C:C)</f>
        <v>120000</v>
      </c>
      <c r="K32" t="str">
        <f>_xlfn.XLOOKUP(E32,'Products Master'!A:A,'Products Master'!D:D)</f>
        <v>Dell</v>
      </c>
      <c r="L32">
        <f t="shared" si="0"/>
        <v>450000</v>
      </c>
      <c r="M32">
        <f t="shared" si="1"/>
        <v>360000</v>
      </c>
      <c r="N32">
        <f t="shared" si="2"/>
        <v>90000</v>
      </c>
      <c r="O32" s="2">
        <f t="shared" si="3"/>
        <v>0.2</v>
      </c>
    </row>
    <row r="33" spans="1:15">
      <c r="A33" t="s">
        <v>122</v>
      </c>
      <c r="B33" t="s">
        <v>123</v>
      </c>
      <c r="C33" t="s">
        <v>53</v>
      </c>
      <c r="D33" t="s">
        <v>45</v>
      </c>
      <c r="E33" t="s">
        <v>124</v>
      </c>
      <c r="F33">
        <v>3</v>
      </c>
      <c r="G33">
        <v>18000</v>
      </c>
      <c r="H33" t="s">
        <v>36</v>
      </c>
      <c r="I33" t="str">
        <f>_xlfn.XLOOKUP(E33,'Products Master'!A:A,'Products Master'!B:B)</f>
        <v>Storage</v>
      </c>
      <c r="J33">
        <f>_xlfn.XLOOKUP(E33,'Products Master'!A:A,'Products Master'!C:C)</f>
        <v>12000</v>
      </c>
      <c r="K33" t="str">
        <f>_xlfn.XLOOKUP(E33,'Products Master'!A:A,'Products Master'!D:D)</f>
        <v>Kingston</v>
      </c>
      <c r="L33">
        <f t="shared" si="0"/>
        <v>54000</v>
      </c>
      <c r="M33">
        <f t="shared" si="1"/>
        <v>36000</v>
      </c>
      <c r="N33">
        <f t="shared" si="2"/>
        <v>18000</v>
      </c>
      <c r="O33" s="2">
        <f t="shared" si="3"/>
        <v>0.33333333333333331</v>
      </c>
    </row>
    <row r="34" spans="1:15">
      <c r="A34" t="s">
        <v>125</v>
      </c>
      <c r="B34" t="s">
        <v>126</v>
      </c>
      <c r="C34" t="s">
        <v>127</v>
      </c>
      <c r="D34" t="s">
        <v>23</v>
      </c>
      <c r="E34" t="s">
        <v>24</v>
      </c>
      <c r="F34">
        <v>1</v>
      </c>
      <c r="G34">
        <v>2500</v>
      </c>
      <c r="H34" t="s">
        <v>19</v>
      </c>
      <c r="I34" t="str">
        <f>_xlfn.XLOOKUP(E34,'Products Master'!A:A,'Products Master'!B:B)</f>
        <v>Accessories</v>
      </c>
      <c r="J34">
        <f>_xlfn.XLOOKUP(E34,'Products Master'!A:A,'Products Master'!C:C)</f>
        <v>1500</v>
      </c>
      <c r="K34" t="str">
        <f>_xlfn.XLOOKUP(E34,'Products Master'!A:A,'Products Master'!D:D)</f>
        <v>Logitech</v>
      </c>
      <c r="L34">
        <f t="shared" si="0"/>
        <v>2500</v>
      </c>
      <c r="M34">
        <f t="shared" si="1"/>
        <v>1500</v>
      </c>
      <c r="N34">
        <f t="shared" si="2"/>
        <v>1000</v>
      </c>
      <c r="O34" s="2">
        <f t="shared" si="3"/>
        <v>0.4</v>
      </c>
    </row>
    <row r="35" spans="1:15">
      <c r="A35" t="s">
        <v>128</v>
      </c>
      <c r="B35" t="s">
        <v>129</v>
      </c>
      <c r="C35" t="s">
        <v>74</v>
      </c>
      <c r="D35" t="s">
        <v>23</v>
      </c>
      <c r="E35" t="s">
        <v>124</v>
      </c>
      <c r="F35">
        <v>2</v>
      </c>
      <c r="G35">
        <v>18000</v>
      </c>
      <c r="H35" t="s">
        <v>41</v>
      </c>
      <c r="I35" t="str">
        <f>_xlfn.XLOOKUP(E35,'Products Master'!A:A,'Products Master'!B:B)</f>
        <v>Storage</v>
      </c>
      <c r="J35">
        <f>_xlfn.XLOOKUP(E35,'Products Master'!A:A,'Products Master'!C:C)</f>
        <v>12000</v>
      </c>
      <c r="K35" t="str">
        <f>_xlfn.XLOOKUP(E35,'Products Master'!A:A,'Products Master'!D:D)</f>
        <v>Kingston</v>
      </c>
      <c r="L35">
        <f t="shared" si="0"/>
        <v>36000</v>
      </c>
      <c r="M35">
        <f t="shared" si="1"/>
        <v>24000</v>
      </c>
      <c r="N35">
        <f t="shared" si="2"/>
        <v>12000</v>
      </c>
      <c r="O35" s="2">
        <f t="shared" si="3"/>
        <v>0.33333333333333331</v>
      </c>
    </row>
    <row r="36" spans="1:15">
      <c r="A36" t="s">
        <v>130</v>
      </c>
      <c r="B36" t="s">
        <v>131</v>
      </c>
      <c r="C36" t="s">
        <v>88</v>
      </c>
      <c r="D36" t="s">
        <v>45</v>
      </c>
      <c r="E36" t="s">
        <v>24</v>
      </c>
      <c r="F36">
        <v>2</v>
      </c>
      <c r="G36">
        <v>2500</v>
      </c>
      <c r="H36" t="s">
        <v>30</v>
      </c>
      <c r="I36" t="str">
        <f>_xlfn.XLOOKUP(E36,'Products Master'!A:A,'Products Master'!B:B)</f>
        <v>Accessories</v>
      </c>
      <c r="J36">
        <f>_xlfn.XLOOKUP(E36,'Products Master'!A:A,'Products Master'!C:C)</f>
        <v>1500</v>
      </c>
      <c r="K36" t="str">
        <f>_xlfn.XLOOKUP(E36,'Products Master'!A:A,'Products Master'!D:D)</f>
        <v>Logitech</v>
      </c>
      <c r="L36">
        <f t="shared" si="0"/>
        <v>5000</v>
      </c>
      <c r="M36">
        <f t="shared" si="1"/>
        <v>3000</v>
      </c>
      <c r="N36">
        <f t="shared" si="2"/>
        <v>2000</v>
      </c>
      <c r="O36" s="2">
        <f t="shared" si="3"/>
        <v>0.4</v>
      </c>
    </row>
    <row r="37" spans="1:15">
      <c r="A37" t="s">
        <v>132</v>
      </c>
      <c r="B37" t="s">
        <v>133</v>
      </c>
      <c r="C37" t="s">
        <v>134</v>
      </c>
      <c r="D37" t="s">
        <v>29</v>
      </c>
      <c r="E37" t="s">
        <v>12</v>
      </c>
      <c r="F37">
        <v>5</v>
      </c>
      <c r="G37">
        <v>150000</v>
      </c>
      <c r="H37" t="s">
        <v>116</v>
      </c>
      <c r="I37" t="str">
        <f>_xlfn.XLOOKUP(E37,'Products Master'!A:A,'Products Master'!B:B)</f>
        <v>Electronics</v>
      </c>
      <c r="J37">
        <f>_xlfn.XLOOKUP(E37,'Products Master'!A:A,'Products Master'!C:C)</f>
        <v>120000</v>
      </c>
      <c r="K37" t="str">
        <f>_xlfn.XLOOKUP(E37,'Products Master'!A:A,'Products Master'!D:D)</f>
        <v>Dell</v>
      </c>
      <c r="L37">
        <f t="shared" si="0"/>
        <v>750000</v>
      </c>
      <c r="M37">
        <f t="shared" si="1"/>
        <v>600000</v>
      </c>
      <c r="N37">
        <f t="shared" si="2"/>
        <v>150000</v>
      </c>
      <c r="O37" s="2">
        <f t="shared" si="3"/>
        <v>0.2</v>
      </c>
    </row>
    <row r="38" spans="1:15">
      <c r="A38" t="s">
        <v>135</v>
      </c>
      <c r="B38" t="s">
        <v>136</v>
      </c>
      <c r="C38" t="s">
        <v>137</v>
      </c>
      <c r="D38" t="s">
        <v>29</v>
      </c>
      <c r="E38" t="s">
        <v>49</v>
      </c>
      <c r="F38">
        <v>5</v>
      </c>
      <c r="G38">
        <v>9500</v>
      </c>
      <c r="H38" t="s">
        <v>50</v>
      </c>
      <c r="I38" t="str">
        <f>_xlfn.XLOOKUP(E38,'Products Master'!A:A,'Products Master'!B:B)</f>
        <v>Accessories</v>
      </c>
      <c r="J38">
        <f>_xlfn.XLOOKUP(E38,'Products Master'!A:A,'Products Master'!C:C)</f>
        <v>7000</v>
      </c>
      <c r="K38" t="str">
        <f>_xlfn.XLOOKUP(E38,'Products Master'!A:A,'Products Master'!D:D)</f>
        <v>Logitech</v>
      </c>
      <c r="L38">
        <f t="shared" si="0"/>
        <v>47500</v>
      </c>
      <c r="M38">
        <f t="shared" si="1"/>
        <v>35000</v>
      </c>
      <c r="N38">
        <f t="shared" si="2"/>
        <v>12500</v>
      </c>
      <c r="O38" s="2">
        <f t="shared" si="3"/>
        <v>0.26315789473684209</v>
      </c>
    </row>
    <row r="39" spans="1:15">
      <c r="A39" t="s">
        <v>138</v>
      </c>
      <c r="B39" t="s">
        <v>139</v>
      </c>
      <c r="C39" t="s">
        <v>140</v>
      </c>
      <c r="D39" t="s">
        <v>34</v>
      </c>
      <c r="E39" t="s">
        <v>99</v>
      </c>
      <c r="F39">
        <v>3</v>
      </c>
      <c r="G39">
        <v>5000</v>
      </c>
      <c r="H39" t="s">
        <v>66</v>
      </c>
      <c r="I39" t="str">
        <f>_xlfn.XLOOKUP(E39,'Products Master'!A:A,'Products Master'!B:B)</f>
        <v>Accessories</v>
      </c>
      <c r="J39">
        <f>_xlfn.XLOOKUP(E39,'Products Master'!A:A,'Products Master'!C:C)</f>
        <v>3500</v>
      </c>
      <c r="K39" t="str">
        <f>_xlfn.XLOOKUP(E39,'Products Master'!A:A,'Products Master'!D:D)</f>
        <v>Logitech</v>
      </c>
      <c r="L39">
        <f t="shared" si="0"/>
        <v>15000</v>
      </c>
      <c r="M39">
        <f t="shared" si="1"/>
        <v>10500</v>
      </c>
      <c r="N39">
        <f t="shared" si="2"/>
        <v>4500</v>
      </c>
      <c r="O39" s="2">
        <f t="shared" si="3"/>
        <v>0.3</v>
      </c>
    </row>
    <row r="40" spans="1:15">
      <c r="A40" t="s">
        <v>141</v>
      </c>
      <c r="B40" t="s">
        <v>142</v>
      </c>
      <c r="C40" t="s">
        <v>143</v>
      </c>
      <c r="D40" t="s">
        <v>11</v>
      </c>
      <c r="E40" t="s">
        <v>54</v>
      </c>
      <c r="F40">
        <v>4</v>
      </c>
      <c r="G40">
        <v>7000</v>
      </c>
      <c r="H40" t="s">
        <v>50</v>
      </c>
      <c r="I40" t="str">
        <f>_xlfn.XLOOKUP(E40,'Products Master'!A:A,'Products Master'!B:B)</f>
        <v>Accessories</v>
      </c>
      <c r="J40">
        <f>_xlfn.XLOOKUP(E40,'Products Master'!A:A,'Products Master'!C:C)</f>
        <v>5000</v>
      </c>
      <c r="K40" t="str">
        <f>_xlfn.XLOOKUP(E40,'Products Master'!A:A,'Products Master'!D:D)</f>
        <v>Sony</v>
      </c>
      <c r="L40">
        <f t="shared" si="0"/>
        <v>28000</v>
      </c>
      <c r="M40">
        <f t="shared" si="1"/>
        <v>20000</v>
      </c>
      <c r="N40">
        <f t="shared" si="2"/>
        <v>8000</v>
      </c>
      <c r="O40" s="2">
        <f t="shared" si="3"/>
        <v>0.2857142857142857</v>
      </c>
    </row>
    <row r="41" spans="1:15">
      <c r="A41" t="s">
        <v>144</v>
      </c>
      <c r="B41" t="s">
        <v>145</v>
      </c>
      <c r="C41" t="s">
        <v>16</v>
      </c>
      <c r="D41" t="s">
        <v>45</v>
      </c>
      <c r="E41" t="s">
        <v>12</v>
      </c>
      <c r="F41">
        <v>2</v>
      </c>
      <c r="G41">
        <v>150000</v>
      </c>
      <c r="H41" t="s">
        <v>95</v>
      </c>
      <c r="I41" t="str">
        <f>_xlfn.XLOOKUP(E41,'Products Master'!A:A,'Products Master'!B:B)</f>
        <v>Electronics</v>
      </c>
      <c r="J41">
        <f>_xlfn.XLOOKUP(E41,'Products Master'!A:A,'Products Master'!C:C)</f>
        <v>120000</v>
      </c>
      <c r="K41" t="str">
        <f>_xlfn.XLOOKUP(E41,'Products Master'!A:A,'Products Master'!D:D)</f>
        <v>Dell</v>
      </c>
      <c r="L41">
        <f t="shared" si="0"/>
        <v>300000</v>
      </c>
      <c r="M41">
        <f t="shared" si="1"/>
        <v>240000</v>
      </c>
      <c r="N41">
        <f t="shared" si="2"/>
        <v>60000</v>
      </c>
      <c r="O41" s="2">
        <f t="shared" si="3"/>
        <v>0.2</v>
      </c>
    </row>
    <row r="42" spans="1:15">
      <c r="A42" t="s">
        <v>146</v>
      </c>
      <c r="B42" t="s">
        <v>47</v>
      </c>
      <c r="C42" t="s">
        <v>147</v>
      </c>
      <c r="D42" t="s">
        <v>11</v>
      </c>
      <c r="E42" t="s">
        <v>124</v>
      </c>
      <c r="F42">
        <v>1</v>
      </c>
      <c r="G42">
        <v>18000</v>
      </c>
      <c r="H42" t="s">
        <v>95</v>
      </c>
      <c r="I42" t="str">
        <f>_xlfn.XLOOKUP(E42,'Products Master'!A:A,'Products Master'!B:B)</f>
        <v>Storage</v>
      </c>
      <c r="J42">
        <f>_xlfn.XLOOKUP(E42,'Products Master'!A:A,'Products Master'!C:C)</f>
        <v>12000</v>
      </c>
      <c r="K42" t="str">
        <f>_xlfn.XLOOKUP(E42,'Products Master'!A:A,'Products Master'!D:D)</f>
        <v>Kingston</v>
      </c>
      <c r="L42">
        <f t="shared" si="0"/>
        <v>18000</v>
      </c>
      <c r="M42">
        <f t="shared" si="1"/>
        <v>12000</v>
      </c>
      <c r="N42">
        <f t="shared" si="2"/>
        <v>6000</v>
      </c>
      <c r="O42" s="2">
        <f t="shared" si="3"/>
        <v>0.33333333333333331</v>
      </c>
    </row>
    <row r="43" spans="1:15">
      <c r="A43" t="s">
        <v>148</v>
      </c>
      <c r="B43" t="s">
        <v>149</v>
      </c>
      <c r="C43" t="s">
        <v>119</v>
      </c>
      <c r="D43" t="s">
        <v>29</v>
      </c>
      <c r="E43" t="s">
        <v>124</v>
      </c>
      <c r="F43">
        <v>2</v>
      </c>
      <c r="G43">
        <v>18000</v>
      </c>
      <c r="H43" t="s">
        <v>30</v>
      </c>
      <c r="I43" t="str">
        <f>_xlfn.XLOOKUP(E43,'Products Master'!A:A,'Products Master'!B:B)</f>
        <v>Storage</v>
      </c>
      <c r="J43">
        <f>_xlfn.XLOOKUP(E43,'Products Master'!A:A,'Products Master'!C:C)</f>
        <v>12000</v>
      </c>
      <c r="K43" t="str">
        <f>_xlfn.XLOOKUP(E43,'Products Master'!A:A,'Products Master'!D:D)</f>
        <v>Kingston</v>
      </c>
      <c r="L43">
        <f t="shared" si="0"/>
        <v>36000</v>
      </c>
      <c r="M43">
        <f t="shared" si="1"/>
        <v>24000</v>
      </c>
      <c r="N43">
        <f t="shared" si="2"/>
        <v>12000</v>
      </c>
      <c r="O43" s="2">
        <f t="shared" si="3"/>
        <v>0.33333333333333331</v>
      </c>
    </row>
    <row r="44" spans="1:15">
      <c r="A44" t="s">
        <v>150</v>
      </c>
      <c r="B44" t="s">
        <v>151</v>
      </c>
      <c r="C44" t="s">
        <v>152</v>
      </c>
      <c r="D44" t="s">
        <v>17</v>
      </c>
      <c r="E44" t="s">
        <v>49</v>
      </c>
      <c r="F44">
        <v>2</v>
      </c>
      <c r="G44">
        <v>9500</v>
      </c>
      <c r="H44" t="s">
        <v>25</v>
      </c>
      <c r="I44" t="str">
        <f>_xlfn.XLOOKUP(E44,'Products Master'!A:A,'Products Master'!B:B)</f>
        <v>Accessories</v>
      </c>
      <c r="J44">
        <f>_xlfn.XLOOKUP(E44,'Products Master'!A:A,'Products Master'!C:C)</f>
        <v>7000</v>
      </c>
      <c r="K44" t="str">
        <f>_xlfn.XLOOKUP(E44,'Products Master'!A:A,'Products Master'!D:D)</f>
        <v>Logitech</v>
      </c>
      <c r="L44">
        <f t="shared" si="0"/>
        <v>19000</v>
      </c>
      <c r="M44">
        <f t="shared" si="1"/>
        <v>14000</v>
      </c>
      <c r="N44">
        <f t="shared" si="2"/>
        <v>5000</v>
      </c>
      <c r="O44" s="2">
        <f t="shared" si="3"/>
        <v>0.26315789473684209</v>
      </c>
    </row>
    <row r="45" spans="1:15">
      <c r="A45" t="s">
        <v>153</v>
      </c>
      <c r="B45" t="s">
        <v>62</v>
      </c>
      <c r="C45" t="s">
        <v>10</v>
      </c>
      <c r="D45" t="s">
        <v>34</v>
      </c>
      <c r="E45" t="s">
        <v>54</v>
      </c>
      <c r="F45">
        <v>4</v>
      </c>
      <c r="G45">
        <v>7000</v>
      </c>
      <c r="H45" t="s">
        <v>66</v>
      </c>
      <c r="I45" t="str">
        <f>_xlfn.XLOOKUP(E45,'Products Master'!A:A,'Products Master'!B:B)</f>
        <v>Accessories</v>
      </c>
      <c r="J45">
        <f>_xlfn.XLOOKUP(E45,'Products Master'!A:A,'Products Master'!C:C)</f>
        <v>5000</v>
      </c>
      <c r="K45" t="str">
        <f>_xlfn.XLOOKUP(E45,'Products Master'!A:A,'Products Master'!D:D)</f>
        <v>Sony</v>
      </c>
      <c r="L45">
        <f t="shared" si="0"/>
        <v>28000</v>
      </c>
      <c r="M45">
        <f t="shared" si="1"/>
        <v>20000</v>
      </c>
      <c r="N45">
        <f t="shared" si="2"/>
        <v>8000</v>
      </c>
      <c r="O45" s="2">
        <f t="shared" si="3"/>
        <v>0.2857142857142857</v>
      </c>
    </row>
    <row r="46" spans="1:15">
      <c r="A46" t="s">
        <v>154</v>
      </c>
      <c r="B46" t="s">
        <v>155</v>
      </c>
      <c r="C46" t="s">
        <v>156</v>
      </c>
      <c r="D46" t="s">
        <v>115</v>
      </c>
      <c r="E46" t="s">
        <v>99</v>
      </c>
      <c r="F46">
        <v>1</v>
      </c>
      <c r="G46">
        <v>5000</v>
      </c>
      <c r="H46" t="s">
        <v>50</v>
      </c>
      <c r="I46" t="str">
        <f>_xlfn.XLOOKUP(E46,'Products Master'!A:A,'Products Master'!B:B)</f>
        <v>Accessories</v>
      </c>
      <c r="J46">
        <f>_xlfn.XLOOKUP(E46,'Products Master'!A:A,'Products Master'!C:C)</f>
        <v>3500</v>
      </c>
      <c r="K46" t="str">
        <f>_xlfn.XLOOKUP(E46,'Products Master'!A:A,'Products Master'!D:D)</f>
        <v>Logitech</v>
      </c>
      <c r="L46">
        <f t="shared" si="0"/>
        <v>5000</v>
      </c>
      <c r="M46">
        <f t="shared" si="1"/>
        <v>3500</v>
      </c>
      <c r="N46">
        <f t="shared" si="2"/>
        <v>1500</v>
      </c>
      <c r="O46" s="2">
        <f t="shared" si="3"/>
        <v>0.3</v>
      </c>
    </row>
    <row r="47" spans="1:15">
      <c r="A47" t="s">
        <v>157</v>
      </c>
      <c r="B47" t="s">
        <v>158</v>
      </c>
      <c r="C47" t="s">
        <v>159</v>
      </c>
      <c r="D47" t="s">
        <v>29</v>
      </c>
      <c r="E47" t="s">
        <v>40</v>
      </c>
      <c r="F47">
        <v>1</v>
      </c>
      <c r="G47">
        <v>60000</v>
      </c>
      <c r="H47" t="s">
        <v>41</v>
      </c>
      <c r="I47" t="str">
        <f>_xlfn.XLOOKUP(E47,'Products Master'!A:A,'Products Master'!B:B)</f>
        <v>Electronics</v>
      </c>
      <c r="J47">
        <f>_xlfn.XLOOKUP(E47,'Products Master'!A:A,'Products Master'!C:C)</f>
        <v>50000</v>
      </c>
      <c r="K47" t="str">
        <f>_xlfn.XLOOKUP(E47,'Products Master'!A:A,'Products Master'!D:D)</f>
        <v>LG</v>
      </c>
      <c r="L47">
        <f t="shared" si="0"/>
        <v>60000</v>
      </c>
      <c r="M47">
        <f t="shared" si="1"/>
        <v>50000</v>
      </c>
      <c r="N47">
        <f t="shared" si="2"/>
        <v>10000</v>
      </c>
      <c r="O47" s="2">
        <f t="shared" si="3"/>
        <v>0.16666666666666666</v>
      </c>
    </row>
    <row r="48" spans="1:15">
      <c r="A48" t="s">
        <v>160</v>
      </c>
      <c r="B48" t="s">
        <v>161</v>
      </c>
      <c r="C48" t="s">
        <v>162</v>
      </c>
      <c r="D48" t="s">
        <v>45</v>
      </c>
      <c r="E48" t="s">
        <v>124</v>
      </c>
      <c r="F48">
        <v>5</v>
      </c>
      <c r="G48">
        <v>18000</v>
      </c>
      <c r="H48" t="s">
        <v>66</v>
      </c>
      <c r="I48" t="str">
        <f>_xlfn.XLOOKUP(E48,'Products Master'!A:A,'Products Master'!B:B)</f>
        <v>Storage</v>
      </c>
      <c r="J48">
        <f>_xlfn.XLOOKUP(E48,'Products Master'!A:A,'Products Master'!C:C)</f>
        <v>12000</v>
      </c>
      <c r="K48" t="str">
        <f>_xlfn.XLOOKUP(E48,'Products Master'!A:A,'Products Master'!D:D)</f>
        <v>Kingston</v>
      </c>
      <c r="L48">
        <f t="shared" si="0"/>
        <v>90000</v>
      </c>
      <c r="M48">
        <f t="shared" si="1"/>
        <v>60000</v>
      </c>
      <c r="N48">
        <f t="shared" si="2"/>
        <v>30000</v>
      </c>
      <c r="O48" s="2">
        <f t="shared" si="3"/>
        <v>0.33333333333333331</v>
      </c>
    </row>
    <row r="49" spans="1:15">
      <c r="A49" t="s">
        <v>163</v>
      </c>
      <c r="B49" t="s">
        <v>164</v>
      </c>
      <c r="C49" t="s">
        <v>104</v>
      </c>
      <c r="D49" t="s">
        <v>34</v>
      </c>
      <c r="E49" t="s">
        <v>99</v>
      </c>
      <c r="F49">
        <v>3</v>
      </c>
      <c r="G49">
        <v>5000</v>
      </c>
      <c r="H49" t="s">
        <v>116</v>
      </c>
      <c r="I49" t="str">
        <f>_xlfn.XLOOKUP(E49,'Products Master'!A:A,'Products Master'!B:B)</f>
        <v>Accessories</v>
      </c>
      <c r="J49">
        <f>_xlfn.XLOOKUP(E49,'Products Master'!A:A,'Products Master'!C:C)</f>
        <v>3500</v>
      </c>
      <c r="K49" t="str">
        <f>_xlfn.XLOOKUP(E49,'Products Master'!A:A,'Products Master'!D:D)</f>
        <v>Logitech</v>
      </c>
      <c r="L49">
        <f t="shared" si="0"/>
        <v>15000</v>
      </c>
      <c r="M49">
        <f t="shared" si="1"/>
        <v>10500</v>
      </c>
      <c r="N49">
        <f t="shared" si="2"/>
        <v>4500</v>
      </c>
      <c r="O49" s="2">
        <f t="shared" si="3"/>
        <v>0.3</v>
      </c>
    </row>
    <row r="50" spans="1:15">
      <c r="A50" t="s">
        <v>165</v>
      </c>
      <c r="B50" t="s">
        <v>166</v>
      </c>
      <c r="C50" t="s">
        <v>167</v>
      </c>
      <c r="D50" t="s">
        <v>111</v>
      </c>
      <c r="E50" t="s">
        <v>35</v>
      </c>
      <c r="F50">
        <v>2</v>
      </c>
      <c r="G50">
        <v>2000</v>
      </c>
      <c r="H50" t="s">
        <v>36</v>
      </c>
      <c r="I50" t="str">
        <f>_xlfn.XLOOKUP(E50,'Products Master'!A:A,'Products Master'!B:B)</f>
        <v>Storage</v>
      </c>
      <c r="J50">
        <f>_xlfn.XLOOKUP(E50,'Products Master'!A:A,'Products Master'!C:C)</f>
        <v>1200</v>
      </c>
      <c r="K50" t="str">
        <f>_xlfn.XLOOKUP(E50,'Products Master'!A:A,'Products Master'!D:D)</f>
        <v>SanDisk</v>
      </c>
      <c r="L50">
        <f t="shared" si="0"/>
        <v>4000</v>
      </c>
      <c r="M50">
        <f t="shared" si="1"/>
        <v>2400</v>
      </c>
      <c r="N50">
        <f t="shared" si="2"/>
        <v>1600</v>
      </c>
      <c r="O50" s="2">
        <f t="shared" si="3"/>
        <v>0.4</v>
      </c>
    </row>
    <row r="51" spans="1:15">
      <c r="A51" t="s">
        <v>168</v>
      </c>
      <c r="B51" t="s">
        <v>169</v>
      </c>
      <c r="C51" t="s">
        <v>170</v>
      </c>
      <c r="D51" t="s">
        <v>34</v>
      </c>
      <c r="E51" t="s">
        <v>40</v>
      </c>
      <c r="F51">
        <v>3</v>
      </c>
      <c r="G51">
        <v>60000</v>
      </c>
      <c r="H51" t="s">
        <v>50</v>
      </c>
      <c r="I51" t="str">
        <f>_xlfn.XLOOKUP(E51,'Products Master'!A:A,'Products Master'!B:B)</f>
        <v>Electronics</v>
      </c>
      <c r="J51">
        <f>_xlfn.XLOOKUP(E51,'Products Master'!A:A,'Products Master'!C:C)</f>
        <v>50000</v>
      </c>
      <c r="K51" t="str">
        <f>_xlfn.XLOOKUP(E51,'Products Master'!A:A,'Products Master'!D:D)</f>
        <v>LG</v>
      </c>
      <c r="L51">
        <f t="shared" si="0"/>
        <v>180000</v>
      </c>
      <c r="M51">
        <f t="shared" si="1"/>
        <v>150000</v>
      </c>
      <c r="N51">
        <f t="shared" si="2"/>
        <v>30000</v>
      </c>
      <c r="O51" s="2">
        <f t="shared" si="3"/>
        <v>0.16666666666666666</v>
      </c>
    </row>
    <row r="52" spans="1:15">
      <c r="A52" t="s">
        <v>171</v>
      </c>
      <c r="B52" t="s">
        <v>172</v>
      </c>
      <c r="C52" t="s">
        <v>173</v>
      </c>
      <c r="D52" t="s">
        <v>34</v>
      </c>
      <c r="E52" t="s">
        <v>35</v>
      </c>
      <c r="F52">
        <v>2</v>
      </c>
      <c r="G52">
        <v>2000</v>
      </c>
      <c r="H52" t="s">
        <v>50</v>
      </c>
      <c r="I52" t="str">
        <f>_xlfn.XLOOKUP(E52,'Products Master'!A:A,'Products Master'!B:B)</f>
        <v>Storage</v>
      </c>
      <c r="J52">
        <f>_xlfn.XLOOKUP(E52,'Products Master'!A:A,'Products Master'!C:C)</f>
        <v>1200</v>
      </c>
      <c r="K52" t="str">
        <f>_xlfn.XLOOKUP(E52,'Products Master'!A:A,'Products Master'!D:D)</f>
        <v>SanDisk</v>
      </c>
      <c r="L52">
        <f t="shared" si="0"/>
        <v>4000</v>
      </c>
      <c r="M52">
        <f t="shared" si="1"/>
        <v>2400</v>
      </c>
      <c r="N52">
        <f t="shared" si="2"/>
        <v>1600</v>
      </c>
      <c r="O52" s="2">
        <f t="shared" si="3"/>
        <v>0.4</v>
      </c>
    </row>
    <row r="53" spans="1:15">
      <c r="A53" t="s">
        <v>174</v>
      </c>
      <c r="B53" t="s">
        <v>175</v>
      </c>
      <c r="C53" t="s">
        <v>176</v>
      </c>
      <c r="D53" t="s">
        <v>17</v>
      </c>
      <c r="E53" t="s">
        <v>124</v>
      </c>
      <c r="F53">
        <v>4</v>
      </c>
      <c r="G53">
        <v>18000</v>
      </c>
      <c r="H53" t="s">
        <v>36</v>
      </c>
      <c r="I53" t="str">
        <f>_xlfn.XLOOKUP(E53,'Products Master'!A:A,'Products Master'!B:B)</f>
        <v>Storage</v>
      </c>
      <c r="J53">
        <f>_xlfn.XLOOKUP(E53,'Products Master'!A:A,'Products Master'!C:C)</f>
        <v>12000</v>
      </c>
      <c r="K53" t="str">
        <f>_xlfn.XLOOKUP(E53,'Products Master'!A:A,'Products Master'!D:D)</f>
        <v>Kingston</v>
      </c>
      <c r="L53">
        <f t="shared" si="0"/>
        <v>72000</v>
      </c>
      <c r="M53">
        <f t="shared" si="1"/>
        <v>48000</v>
      </c>
      <c r="N53">
        <f t="shared" si="2"/>
        <v>24000</v>
      </c>
      <c r="O53" s="2">
        <f t="shared" si="3"/>
        <v>0.33333333333333331</v>
      </c>
    </row>
    <row r="54" spans="1:15">
      <c r="A54" t="s">
        <v>177</v>
      </c>
      <c r="B54" t="s">
        <v>178</v>
      </c>
      <c r="C54" t="s">
        <v>127</v>
      </c>
      <c r="D54" t="s">
        <v>11</v>
      </c>
      <c r="E54" t="s">
        <v>179</v>
      </c>
      <c r="F54">
        <v>1</v>
      </c>
      <c r="G54">
        <v>80000</v>
      </c>
      <c r="H54" t="s">
        <v>95</v>
      </c>
      <c r="I54" t="str">
        <f>_xlfn.XLOOKUP(E54,'Products Master'!A:A,'Products Master'!B:B)</f>
        <v>Electronics</v>
      </c>
      <c r="J54">
        <f>_xlfn.XLOOKUP(E54,'Products Master'!A:A,'Products Master'!C:C)</f>
        <v>65000</v>
      </c>
      <c r="K54" t="str">
        <f>_xlfn.XLOOKUP(E54,'Products Master'!A:A,'Products Master'!D:D)</f>
        <v>Samsung</v>
      </c>
      <c r="L54">
        <f t="shared" si="0"/>
        <v>80000</v>
      </c>
      <c r="M54">
        <f t="shared" si="1"/>
        <v>65000</v>
      </c>
      <c r="N54">
        <f t="shared" si="2"/>
        <v>15000</v>
      </c>
      <c r="O54" s="2">
        <f t="shared" si="3"/>
        <v>0.1875</v>
      </c>
    </row>
    <row r="55" spans="1:15">
      <c r="A55" t="s">
        <v>180</v>
      </c>
      <c r="B55" t="s">
        <v>113</v>
      </c>
      <c r="C55" t="s">
        <v>101</v>
      </c>
      <c r="D55" t="s">
        <v>23</v>
      </c>
      <c r="E55" t="s">
        <v>35</v>
      </c>
      <c r="F55">
        <v>4</v>
      </c>
      <c r="G55">
        <v>2000</v>
      </c>
      <c r="H55" t="s">
        <v>50</v>
      </c>
      <c r="I55" t="str">
        <f>_xlfn.XLOOKUP(E55,'Products Master'!A:A,'Products Master'!B:B)</f>
        <v>Storage</v>
      </c>
      <c r="J55">
        <f>_xlfn.XLOOKUP(E55,'Products Master'!A:A,'Products Master'!C:C)</f>
        <v>1200</v>
      </c>
      <c r="K55" t="str">
        <f>_xlfn.XLOOKUP(E55,'Products Master'!A:A,'Products Master'!D:D)</f>
        <v>SanDisk</v>
      </c>
      <c r="L55">
        <f t="shared" si="0"/>
        <v>8000</v>
      </c>
      <c r="M55">
        <f t="shared" si="1"/>
        <v>4800</v>
      </c>
      <c r="N55">
        <f t="shared" si="2"/>
        <v>3200</v>
      </c>
      <c r="O55" s="2">
        <f t="shared" si="3"/>
        <v>0.4</v>
      </c>
    </row>
    <row r="56" spans="1:15">
      <c r="A56" t="s">
        <v>181</v>
      </c>
      <c r="B56" t="s">
        <v>182</v>
      </c>
      <c r="C56" t="s">
        <v>10</v>
      </c>
      <c r="D56" t="s">
        <v>11</v>
      </c>
      <c r="E56" t="s">
        <v>49</v>
      </c>
      <c r="F56">
        <v>2</v>
      </c>
      <c r="G56">
        <v>9500</v>
      </c>
      <c r="H56" t="s">
        <v>19</v>
      </c>
      <c r="I56" t="str">
        <f>_xlfn.XLOOKUP(E56,'Products Master'!A:A,'Products Master'!B:B)</f>
        <v>Accessories</v>
      </c>
      <c r="J56">
        <f>_xlfn.XLOOKUP(E56,'Products Master'!A:A,'Products Master'!C:C)</f>
        <v>7000</v>
      </c>
      <c r="K56" t="str">
        <f>_xlfn.XLOOKUP(E56,'Products Master'!A:A,'Products Master'!D:D)</f>
        <v>Logitech</v>
      </c>
      <c r="L56">
        <f t="shared" si="0"/>
        <v>19000</v>
      </c>
      <c r="M56">
        <f t="shared" si="1"/>
        <v>14000</v>
      </c>
      <c r="N56">
        <f t="shared" si="2"/>
        <v>5000</v>
      </c>
      <c r="O56" s="2">
        <f t="shared" si="3"/>
        <v>0.26315789473684209</v>
      </c>
    </row>
    <row r="57" spans="1:15">
      <c r="A57" t="s">
        <v>183</v>
      </c>
      <c r="B57" t="s">
        <v>184</v>
      </c>
      <c r="C57" t="s">
        <v>176</v>
      </c>
      <c r="D57" t="s">
        <v>23</v>
      </c>
      <c r="E57" t="s">
        <v>40</v>
      </c>
      <c r="F57">
        <v>4</v>
      </c>
      <c r="G57">
        <v>60000</v>
      </c>
      <c r="H57" t="s">
        <v>13</v>
      </c>
      <c r="I57" t="str">
        <f>_xlfn.XLOOKUP(E57,'Products Master'!A:A,'Products Master'!B:B)</f>
        <v>Electronics</v>
      </c>
      <c r="J57">
        <f>_xlfn.XLOOKUP(E57,'Products Master'!A:A,'Products Master'!C:C)</f>
        <v>50000</v>
      </c>
      <c r="K57" t="str">
        <f>_xlfn.XLOOKUP(E57,'Products Master'!A:A,'Products Master'!D:D)</f>
        <v>LG</v>
      </c>
      <c r="L57">
        <f t="shared" si="0"/>
        <v>240000</v>
      </c>
      <c r="M57">
        <f t="shared" si="1"/>
        <v>200000</v>
      </c>
      <c r="N57">
        <f t="shared" si="2"/>
        <v>40000</v>
      </c>
      <c r="O57" s="2">
        <f t="shared" si="3"/>
        <v>0.16666666666666666</v>
      </c>
    </row>
    <row r="58" spans="1:15">
      <c r="A58" t="s">
        <v>185</v>
      </c>
      <c r="B58" t="s">
        <v>82</v>
      </c>
      <c r="C58" t="s">
        <v>186</v>
      </c>
      <c r="D58" t="s">
        <v>23</v>
      </c>
      <c r="E58" t="s">
        <v>12</v>
      </c>
      <c r="F58">
        <v>1</v>
      </c>
      <c r="G58">
        <v>150000</v>
      </c>
      <c r="H58" t="s">
        <v>116</v>
      </c>
      <c r="I58" t="str">
        <f>_xlfn.XLOOKUP(E58,'Products Master'!A:A,'Products Master'!B:B)</f>
        <v>Electronics</v>
      </c>
      <c r="J58">
        <f>_xlfn.XLOOKUP(E58,'Products Master'!A:A,'Products Master'!C:C)</f>
        <v>120000</v>
      </c>
      <c r="K58" t="str">
        <f>_xlfn.XLOOKUP(E58,'Products Master'!A:A,'Products Master'!D:D)</f>
        <v>Dell</v>
      </c>
      <c r="L58">
        <f t="shared" si="0"/>
        <v>150000</v>
      </c>
      <c r="M58">
        <f t="shared" si="1"/>
        <v>120000</v>
      </c>
      <c r="N58">
        <f t="shared" si="2"/>
        <v>30000</v>
      </c>
      <c r="O58" s="2">
        <f t="shared" si="3"/>
        <v>0.2</v>
      </c>
    </row>
    <row r="59" spans="1:15">
      <c r="A59" t="s">
        <v>187</v>
      </c>
      <c r="B59" t="s">
        <v>188</v>
      </c>
      <c r="C59" t="s">
        <v>189</v>
      </c>
      <c r="D59" t="s">
        <v>45</v>
      </c>
      <c r="E59" t="s">
        <v>35</v>
      </c>
      <c r="F59">
        <v>3</v>
      </c>
      <c r="G59">
        <v>2000</v>
      </c>
      <c r="H59" t="s">
        <v>50</v>
      </c>
      <c r="I59" t="str">
        <f>_xlfn.XLOOKUP(E59,'Products Master'!A:A,'Products Master'!B:B)</f>
        <v>Storage</v>
      </c>
      <c r="J59">
        <f>_xlfn.XLOOKUP(E59,'Products Master'!A:A,'Products Master'!C:C)</f>
        <v>1200</v>
      </c>
      <c r="K59" t="str">
        <f>_xlfn.XLOOKUP(E59,'Products Master'!A:A,'Products Master'!D:D)</f>
        <v>SanDisk</v>
      </c>
      <c r="L59">
        <f t="shared" si="0"/>
        <v>6000</v>
      </c>
      <c r="M59">
        <f t="shared" si="1"/>
        <v>3600</v>
      </c>
      <c r="N59">
        <f t="shared" si="2"/>
        <v>2400</v>
      </c>
      <c r="O59" s="2">
        <f t="shared" si="3"/>
        <v>0.4</v>
      </c>
    </row>
    <row r="60" spans="1:15">
      <c r="A60" t="s">
        <v>190</v>
      </c>
      <c r="B60" t="s">
        <v>191</v>
      </c>
      <c r="C60" t="s">
        <v>189</v>
      </c>
      <c r="D60" t="s">
        <v>115</v>
      </c>
      <c r="E60" t="s">
        <v>179</v>
      </c>
      <c r="F60">
        <v>1</v>
      </c>
      <c r="G60">
        <v>80000</v>
      </c>
      <c r="H60" t="s">
        <v>41</v>
      </c>
      <c r="I60" t="str">
        <f>_xlfn.XLOOKUP(E60,'Products Master'!A:A,'Products Master'!B:B)</f>
        <v>Electronics</v>
      </c>
      <c r="J60">
        <f>_xlfn.XLOOKUP(E60,'Products Master'!A:A,'Products Master'!C:C)</f>
        <v>65000</v>
      </c>
      <c r="K60" t="str">
        <f>_xlfn.XLOOKUP(E60,'Products Master'!A:A,'Products Master'!D:D)</f>
        <v>Samsung</v>
      </c>
      <c r="L60">
        <f t="shared" si="0"/>
        <v>80000</v>
      </c>
      <c r="M60">
        <f t="shared" si="1"/>
        <v>65000</v>
      </c>
      <c r="N60">
        <f t="shared" si="2"/>
        <v>15000</v>
      </c>
      <c r="O60" s="2">
        <f t="shared" si="3"/>
        <v>0.1875</v>
      </c>
    </row>
    <row r="61" spans="1:15">
      <c r="A61" t="s">
        <v>192</v>
      </c>
      <c r="B61" t="s">
        <v>193</v>
      </c>
      <c r="C61" t="s">
        <v>194</v>
      </c>
      <c r="D61" t="s">
        <v>23</v>
      </c>
      <c r="E61" t="s">
        <v>18</v>
      </c>
      <c r="F61">
        <v>5</v>
      </c>
      <c r="G61">
        <v>45000</v>
      </c>
      <c r="H61" t="s">
        <v>66</v>
      </c>
      <c r="I61" t="str">
        <f>_xlfn.XLOOKUP(E61,'Products Master'!A:A,'Products Master'!B:B)</f>
        <v>Electronics</v>
      </c>
      <c r="J61">
        <f>_xlfn.XLOOKUP(E61,'Products Master'!A:A,'Products Master'!C:C)</f>
        <v>35000</v>
      </c>
      <c r="K61" t="str">
        <f>_xlfn.XLOOKUP(E61,'Products Master'!A:A,'Products Master'!D:D)</f>
        <v>HP</v>
      </c>
      <c r="L61">
        <f t="shared" si="0"/>
        <v>225000</v>
      </c>
      <c r="M61">
        <f t="shared" si="1"/>
        <v>175000</v>
      </c>
      <c r="N61">
        <f t="shared" si="2"/>
        <v>50000</v>
      </c>
      <c r="O61" s="2">
        <f t="shared" si="3"/>
        <v>0.22222222222222221</v>
      </c>
    </row>
    <row r="62" spans="1:15">
      <c r="A62" t="s">
        <v>195</v>
      </c>
      <c r="B62" t="s">
        <v>196</v>
      </c>
      <c r="C62" t="s">
        <v>194</v>
      </c>
      <c r="D62" t="s">
        <v>23</v>
      </c>
      <c r="E62" t="s">
        <v>124</v>
      </c>
      <c r="F62">
        <v>3</v>
      </c>
      <c r="G62">
        <v>18000</v>
      </c>
      <c r="H62" t="s">
        <v>36</v>
      </c>
      <c r="I62" t="str">
        <f>_xlfn.XLOOKUP(E62,'Products Master'!A:A,'Products Master'!B:B)</f>
        <v>Storage</v>
      </c>
      <c r="J62">
        <f>_xlfn.XLOOKUP(E62,'Products Master'!A:A,'Products Master'!C:C)</f>
        <v>12000</v>
      </c>
      <c r="K62" t="str">
        <f>_xlfn.XLOOKUP(E62,'Products Master'!A:A,'Products Master'!D:D)</f>
        <v>Kingston</v>
      </c>
      <c r="L62">
        <f t="shared" si="0"/>
        <v>54000</v>
      </c>
      <c r="M62">
        <f t="shared" si="1"/>
        <v>36000</v>
      </c>
      <c r="N62">
        <f t="shared" si="2"/>
        <v>18000</v>
      </c>
      <c r="O62" s="2">
        <f t="shared" si="3"/>
        <v>0.33333333333333331</v>
      </c>
    </row>
    <row r="63" spans="1:15">
      <c r="A63" t="s">
        <v>197</v>
      </c>
      <c r="B63" t="s">
        <v>198</v>
      </c>
      <c r="C63" t="s">
        <v>101</v>
      </c>
      <c r="D63" t="s">
        <v>11</v>
      </c>
      <c r="E63" t="s">
        <v>179</v>
      </c>
      <c r="F63">
        <v>2</v>
      </c>
      <c r="G63">
        <v>80000</v>
      </c>
      <c r="H63" t="s">
        <v>30</v>
      </c>
      <c r="I63" t="str">
        <f>_xlfn.XLOOKUP(E63,'Products Master'!A:A,'Products Master'!B:B)</f>
        <v>Electronics</v>
      </c>
      <c r="J63">
        <f>_xlfn.XLOOKUP(E63,'Products Master'!A:A,'Products Master'!C:C)</f>
        <v>65000</v>
      </c>
      <c r="K63" t="str">
        <f>_xlfn.XLOOKUP(E63,'Products Master'!A:A,'Products Master'!D:D)</f>
        <v>Samsung</v>
      </c>
      <c r="L63">
        <f t="shared" si="0"/>
        <v>160000</v>
      </c>
      <c r="M63">
        <f t="shared" si="1"/>
        <v>130000</v>
      </c>
      <c r="N63">
        <f t="shared" si="2"/>
        <v>30000</v>
      </c>
      <c r="O63" s="2">
        <f t="shared" si="3"/>
        <v>0.1875</v>
      </c>
    </row>
    <row r="64" spans="1:15">
      <c r="A64" t="s">
        <v>199</v>
      </c>
      <c r="B64" t="s">
        <v>200</v>
      </c>
      <c r="C64" t="s">
        <v>201</v>
      </c>
      <c r="D64" t="s">
        <v>34</v>
      </c>
      <c r="E64" t="s">
        <v>99</v>
      </c>
      <c r="F64">
        <v>3</v>
      </c>
      <c r="G64">
        <v>5000</v>
      </c>
      <c r="H64" t="s">
        <v>36</v>
      </c>
      <c r="I64" t="str">
        <f>_xlfn.XLOOKUP(E64,'Products Master'!A:A,'Products Master'!B:B)</f>
        <v>Accessories</v>
      </c>
      <c r="J64">
        <f>_xlfn.XLOOKUP(E64,'Products Master'!A:A,'Products Master'!C:C)</f>
        <v>3500</v>
      </c>
      <c r="K64" t="str">
        <f>_xlfn.XLOOKUP(E64,'Products Master'!A:A,'Products Master'!D:D)</f>
        <v>Logitech</v>
      </c>
      <c r="L64">
        <f t="shared" si="0"/>
        <v>15000</v>
      </c>
      <c r="M64">
        <f t="shared" si="1"/>
        <v>10500</v>
      </c>
      <c r="N64">
        <f t="shared" si="2"/>
        <v>4500</v>
      </c>
      <c r="O64" s="2">
        <f t="shared" si="3"/>
        <v>0.3</v>
      </c>
    </row>
    <row r="65" spans="1:15">
      <c r="A65" t="s">
        <v>202</v>
      </c>
      <c r="B65" t="s">
        <v>196</v>
      </c>
      <c r="C65" t="s">
        <v>16</v>
      </c>
      <c r="D65" t="s">
        <v>111</v>
      </c>
      <c r="E65" t="s">
        <v>35</v>
      </c>
      <c r="F65">
        <v>4</v>
      </c>
      <c r="G65">
        <v>2000</v>
      </c>
      <c r="H65" t="s">
        <v>30</v>
      </c>
      <c r="I65" t="str">
        <f>_xlfn.XLOOKUP(E65,'Products Master'!A:A,'Products Master'!B:B)</f>
        <v>Storage</v>
      </c>
      <c r="J65">
        <f>_xlfn.XLOOKUP(E65,'Products Master'!A:A,'Products Master'!C:C)</f>
        <v>1200</v>
      </c>
      <c r="K65" t="str">
        <f>_xlfn.XLOOKUP(E65,'Products Master'!A:A,'Products Master'!D:D)</f>
        <v>SanDisk</v>
      </c>
      <c r="L65">
        <f t="shared" si="0"/>
        <v>8000</v>
      </c>
      <c r="M65">
        <f t="shared" si="1"/>
        <v>4800</v>
      </c>
      <c r="N65">
        <f t="shared" si="2"/>
        <v>3200</v>
      </c>
      <c r="O65" s="2">
        <f t="shared" si="3"/>
        <v>0.4</v>
      </c>
    </row>
    <row r="66" spans="1:15">
      <c r="A66" t="s">
        <v>203</v>
      </c>
      <c r="B66" t="s">
        <v>204</v>
      </c>
      <c r="C66" t="s">
        <v>77</v>
      </c>
      <c r="D66" t="s">
        <v>34</v>
      </c>
      <c r="E66" t="s">
        <v>54</v>
      </c>
      <c r="F66">
        <v>5</v>
      </c>
      <c r="G66">
        <v>7000</v>
      </c>
      <c r="H66" t="s">
        <v>36</v>
      </c>
      <c r="I66" t="str">
        <f>_xlfn.XLOOKUP(E66,'Products Master'!A:A,'Products Master'!B:B)</f>
        <v>Accessories</v>
      </c>
      <c r="J66">
        <f>_xlfn.XLOOKUP(E66,'Products Master'!A:A,'Products Master'!C:C)</f>
        <v>5000</v>
      </c>
      <c r="K66" t="str">
        <f>_xlfn.XLOOKUP(E66,'Products Master'!A:A,'Products Master'!D:D)</f>
        <v>Sony</v>
      </c>
      <c r="L66">
        <f t="shared" si="0"/>
        <v>35000</v>
      </c>
      <c r="M66">
        <f t="shared" si="1"/>
        <v>25000</v>
      </c>
      <c r="N66">
        <f t="shared" si="2"/>
        <v>10000</v>
      </c>
      <c r="O66" s="2">
        <f t="shared" si="3"/>
        <v>0.2857142857142857</v>
      </c>
    </row>
    <row r="67" spans="1:15">
      <c r="A67" t="s">
        <v>205</v>
      </c>
      <c r="B67" t="s">
        <v>206</v>
      </c>
      <c r="C67" t="s">
        <v>83</v>
      </c>
      <c r="D67" t="s">
        <v>17</v>
      </c>
      <c r="E67" t="s">
        <v>40</v>
      </c>
      <c r="F67">
        <v>5</v>
      </c>
      <c r="G67">
        <v>60000</v>
      </c>
      <c r="H67" t="s">
        <v>116</v>
      </c>
      <c r="I67" t="str">
        <f>_xlfn.XLOOKUP(E67,'Products Master'!A:A,'Products Master'!B:B)</f>
        <v>Electronics</v>
      </c>
      <c r="J67">
        <f>_xlfn.XLOOKUP(E67,'Products Master'!A:A,'Products Master'!C:C)</f>
        <v>50000</v>
      </c>
      <c r="K67" t="str">
        <f>_xlfn.XLOOKUP(E67,'Products Master'!A:A,'Products Master'!D:D)</f>
        <v>LG</v>
      </c>
      <c r="L67">
        <f t="shared" ref="L67:L130" si="4">F67*G67</f>
        <v>300000</v>
      </c>
      <c r="M67">
        <f t="shared" ref="M67:M130" si="5">F67*J67</f>
        <v>250000</v>
      </c>
      <c r="N67">
        <f t="shared" ref="N67:N130" si="6">L67-M67</f>
        <v>50000</v>
      </c>
      <c r="O67" s="2">
        <f t="shared" ref="O67:O130" si="7">N67/L67</f>
        <v>0.16666666666666666</v>
      </c>
    </row>
    <row r="68" spans="1:15">
      <c r="A68" t="s">
        <v>207</v>
      </c>
      <c r="B68" t="s">
        <v>208</v>
      </c>
      <c r="C68" t="s">
        <v>209</v>
      </c>
      <c r="D68" t="s">
        <v>115</v>
      </c>
      <c r="E68" t="s">
        <v>124</v>
      </c>
      <c r="F68">
        <v>1</v>
      </c>
      <c r="G68">
        <v>18000</v>
      </c>
      <c r="H68" t="s">
        <v>41</v>
      </c>
      <c r="I68" t="str">
        <f>_xlfn.XLOOKUP(E68,'Products Master'!A:A,'Products Master'!B:B)</f>
        <v>Storage</v>
      </c>
      <c r="J68">
        <f>_xlfn.XLOOKUP(E68,'Products Master'!A:A,'Products Master'!C:C)</f>
        <v>12000</v>
      </c>
      <c r="K68" t="str">
        <f>_xlfn.XLOOKUP(E68,'Products Master'!A:A,'Products Master'!D:D)</f>
        <v>Kingston</v>
      </c>
      <c r="L68">
        <f t="shared" si="4"/>
        <v>18000</v>
      </c>
      <c r="M68">
        <f t="shared" si="5"/>
        <v>12000</v>
      </c>
      <c r="N68">
        <f t="shared" si="6"/>
        <v>6000</v>
      </c>
      <c r="O68" s="2">
        <f t="shared" si="7"/>
        <v>0.33333333333333331</v>
      </c>
    </row>
    <row r="69" spans="1:15">
      <c r="A69" t="s">
        <v>210</v>
      </c>
      <c r="B69" t="s">
        <v>211</v>
      </c>
      <c r="C69" t="s">
        <v>212</v>
      </c>
      <c r="D69" t="s">
        <v>23</v>
      </c>
      <c r="E69" t="s">
        <v>35</v>
      </c>
      <c r="F69">
        <v>1</v>
      </c>
      <c r="G69">
        <v>2000</v>
      </c>
      <c r="H69" t="s">
        <v>19</v>
      </c>
      <c r="I69" t="str">
        <f>_xlfn.XLOOKUP(E69,'Products Master'!A:A,'Products Master'!B:B)</f>
        <v>Storage</v>
      </c>
      <c r="J69">
        <f>_xlfn.XLOOKUP(E69,'Products Master'!A:A,'Products Master'!C:C)</f>
        <v>1200</v>
      </c>
      <c r="K69" t="str">
        <f>_xlfn.XLOOKUP(E69,'Products Master'!A:A,'Products Master'!D:D)</f>
        <v>SanDisk</v>
      </c>
      <c r="L69">
        <f t="shared" si="4"/>
        <v>2000</v>
      </c>
      <c r="M69">
        <f t="shared" si="5"/>
        <v>1200</v>
      </c>
      <c r="N69">
        <f t="shared" si="6"/>
        <v>800</v>
      </c>
      <c r="O69" s="2">
        <f t="shared" si="7"/>
        <v>0.4</v>
      </c>
    </row>
    <row r="70" spans="1:15">
      <c r="A70" t="s">
        <v>213</v>
      </c>
      <c r="B70" t="s">
        <v>214</v>
      </c>
      <c r="C70" t="s">
        <v>194</v>
      </c>
      <c r="D70" t="s">
        <v>17</v>
      </c>
      <c r="E70" t="s">
        <v>12</v>
      </c>
      <c r="F70">
        <v>4</v>
      </c>
      <c r="G70">
        <v>150000</v>
      </c>
      <c r="H70" t="s">
        <v>66</v>
      </c>
      <c r="I70" t="str">
        <f>_xlfn.XLOOKUP(E70,'Products Master'!A:A,'Products Master'!B:B)</f>
        <v>Electronics</v>
      </c>
      <c r="J70">
        <f>_xlfn.XLOOKUP(E70,'Products Master'!A:A,'Products Master'!C:C)</f>
        <v>120000</v>
      </c>
      <c r="K70" t="str">
        <f>_xlfn.XLOOKUP(E70,'Products Master'!A:A,'Products Master'!D:D)</f>
        <v>Dell</v>
      </c>
      <c r="L70">
        <f t="shared" si="4"/>
        <v>600000</v>
      </c>
      <c r="M70">
        <f t="shared" si="5"/>
        <v>480000</v>
      </c>
      <c r="N70">
        <f t="shared" si="6"/>
        <v>120000</v>
      </c>
      <c r="O70" s="2">
        <f t="shared" si="7"/>
        <v>0.2</v>
      </c>
    </row>
    <row r="71" spans="1:15">
      <c r="A71" t="s">
        <v>215</v>
      </c>
      <c r="B71" t="s">
        <v>216</v>
      </c>
      <c r="C71" t="s">
        <v>104</v>
      </c>
      <c r="D71" t="s">
        <v>17</v>
      </c>
      <c r="E71" t="s">
        <v>99</v>
      </c>
      <c r="F71">
        <v>5</v>
      </c>
      <c r="G71">
        <v>5000</v>
      </c>
      <c r="H71" t="s">
        <v>95</v>
      </c>
      <c r="I71" t="str">
        <f>_xlfn.XLOOKUP(E71,'Products Master'!A:A,'Products Master'!B:B)</f>
        <v>Accessories</v>
      </c>
      <c r="J71">
        <f>_xlfn.XLOOKUP(E71,'Products Master'!A:A,'Products Master'!C:C)</f>
        <v>3500</v>
      </c>
      <c r="K71" t="str">
        <f>_xlfn.XLOOKUP(E71,'Products Master'!A:A,'Products Master'!D:D)</f>
        <v>Logitech</v>
      </c>
      <c r="L71">
        <f t="shared" si="4"/>
        <v>25000</v>
      </c>
      <c r="M71">
        <f t="shared" si="5"/>
        <v>17500</v>
      </c>
      <c r="N71">
        <f t="shared" si="6"/>
        <v>7500</v>
      </c>
      <c r="O71" s="2">
        <f t="shared" si="7"/>
        <v>0.3</v>
      </c>
    </row>
    <row r="72" spans="1:15">
      <c r="A72" t="s">
        <v>217</v>
      </c>
      <c r="B72" t="s">
        <v>218</v>
      </c>
      <c r="C72" t="s">
        <v>101</v>
      </c>
      <c r="D72" t="s">
        <v>17</v>
      </c>
      <c r="E72" t="s">
        <v>54</v>
      </c>
      <c r="F72">
        <v>2</v>
      </c>
      <c r="G72">
        <v>7000</v>
      </c>
      <c r="H72" t="s">
        <v>41</v>
      </c>
      <c r="I72" t="str">
        <f>_xlfn.XLOOKUP(E72,'Products Master'!A:A,'Products Master'!B:B)</f>
        <v>Accessories</v>
      </c>
      <c r="J72">
        <f>_xlfn.XLOOKUP(E72,'Products Master'!A:A,'Products Master'!C:C)</f>
        <v>5000</v>
      </c>
      <c r="K72" t="str">
        <f>_xlfn.XLOOKUP(E72,'Products Master'!A:A,'Products Master'!D:D)</f>
        <v>Sony</v>
      </c>
      <c r="L72">
        <f t="shared" si="4"/>
        <v>14000</v>
      </c>
      <c r="M72">
        <f t="shared" si="5"/>
        <v>10000</v>
      </c>
      <c r="N72">
        <f t="shared" si="6"/>
        <v>4000</v>
      </c>
      <c r="O72" s="2">
        <f t="shared" si="7"/>
        <v>0.2857142857142857</v>
      </c>
    </row>
    <row r="73" spans="1:15">
      <c r="A73" t="s">
        <v>219</v>
      </c>
      <c r="B73" t="s">
        <v>220</v>
      </c>
      <c r="C73" t="s">
        <v>53</v>
      </c>
      <c r="D73" t="s">
        <v>11</v>
      </c>
      <c r="E73" t="s">
        <v>24</v>
      </c>
      <c r="F73">
        <v>1</v>
      </c>
      <c r="G73">
        <v>2500</v>
      </c>
      <c r="H73" t="s">
        <v>66</v>
      </c>
      <c r="I73" t="str">
        <f>_xlfn.XLOOKUP(E73,'Products Master'!A:A,'Products Master'!B:B)</f>
        <v>Accessories</v>
      </c>
      <c r="J73">
        <f>_xlfn.XLOOKUP(E73,'Products Master'!A:A,'Products Master'!C:C)</f>
        <v>1500</v>
      </c>
      <c r="K73" t="str">
        <f>_xlfn.XLOOKUP(E73,'Products Master'!A:A,'Products Master'!D:D)</f>
        <v>Logitech</v>
      </c>
      <c r="L73">
        <f t="shared" si="4"/>
        <v>2500</v>
      </c>
      <c r="M73">
        <f t="shared" si="5"/>
        <v>1500</v>
      </c>
      <c r="N73">
        <f t="shared" si="6"/>
        <v>1000</v>
      </c>
      <c r="O73" s="2">
        <f t="shared" si="7"/>
        <v>0.4</v>
      </c>
    </row>
    <row r="74" spans="1:15">
      <c r="A74" t="s">
        <v>221</v>
      </c>
      <c r="B74" t="s">
        <v>131</v>
      </c>
      <c r="C74" t="s">
        <v>173</v>
      </c>
      <c r="D74" t="s">
        <v>34</v>
      </c>
      <c r="E74" t="s">
        <v>179</v>
      </c>
      <c r="F74">
        <v>5</v>
      </c>
      <c r="G74">
        <v>80000</v>
      </c>
      <c r="H74" t="s">
        <v>41</v>
      </c>
      <c r="I74" t="str">
        <f>_xlfn.XLOOKUP(E74,'Products Master'!A:A,'Products Master'!B:B)</f>
        <v>Electronics</v>
      </c>
      <c r="J74">
        <f>_xlfn.XLOOKUP(E74,'Products Master'!A:A,'Products Master'!C:C)</f>
        <v>65000</v>
      </c>
      <c r="K74" t="str">
        <f>_xlfn.XLOOKUP(E74,'Products Master'!A:A,'Products Master'!D:D)</f>
        <v>Samsung</v>
      </c>
      <c r="L74">
        <f t="shared" si="4"/>
        <v>400000</v>
      </c>
      <c r="M74">
        <f t="shared" si="5"/>
        <v>325000</v>
      </c>
      <c r="N74">
        <f t="shared" si="6"/>
        <v>75000</v>
      </c>
      <c r="O74" s="2">
        <f t="shared" si="7"/>
        <v>0.1875</v>
      </c>
    </row>
    <row r="75" spans="1:15">
      <c r="A75" t="s">
        <v>222</v>
      </c>
      <c r="B75" t="s">
        <v>223</v>
      </c>
      <c r="C75" t="s">
        <v>104</v>
      </c>
      <c r="D75" t="s">
        <v>17</v>
      </c>
      <c r="E75" t="s">
        <v>124</v>
      </c>
      <c r="F75">
        <v>4</v>
      </c>
      <c r="G75">
        <v>18000</v>
      </c>
      <c r="H75" t="s">
        <v>30</v>
      </c>
      <c r="I75" t="str">
        <f>_xlfn.XLOOKUP(E75,'Products Master'!A:A,'Products Master'!B:B)</f>
        <v>Storage</v>
      </c>
      <c r="J75">
        <f>_xlfn.XLOOKUP(E75,'Products Master'!A:A,'Products Master'!C:C)</f>
        <v>12000</v>
      </c>
      <c r="K75" t="str">
        <f>_xlfn.XLOOKUP(E75,'Products Master'!A:A,'Products Master'!D:D)</f>
        <v>Kingston</v>
      </c>
      <c r="L75">
        <f t="shared" si="4"/>
        <v>72000</v>
      </c>
      <c r="M75">
        <f t="shared" si="5"/>
        <v>48000</v>
      </c>
      <c r="N75">
        <f t="shared" si="6"/>
        <v>24000</v>
      </c>
      <c r="O75" s="2">
        <f t="shared" si="7"/>
        <v>0.33333333333333331</v>
      </c>
    </row>
    <row r="76" spans="1:15">
      <c r="A76" t="s">
        <v>224</v>
      </c>
      <c r="B76" t="s">
        <v>225</v>
      </c>
      <c r="C76" t="s">
        <v>226</v>
      </c>
      <c r="D76" t="s">
        <v>34</v>
      </c>
      <c r="E76" t="s">
        <v>124</v>
      </c>
      <c r="F76">
        <v>5</v>
      </c>
      <c r="G76">
        <v>18000</v>
      </c>
      <c r="H76" t="s">
        <v>41</v>
      </c>
      <c r="I76" t="str">
        <f>_xlfn.XLOOKUP(E76,'Products Master'!A:A,'Products Master'!B:B)</f>
        <v>Storage</v>
      </c>
      <c r="J76">
        <f>_xlfn.XLOOKUP(E76,'Products Master'!A:A,'Products Master'!C:C)</f>
        <v>12000</v>
      </c>
      <c r="K76" t="str">
        <f>_xlfn.XLOOKUP(E76,'Products Master'!A:A,'Products Master'!D:D)</f>
        <v>Kingston</v>
      </c>
      <c r="L76">
        <f t="shared" si="4"/>
        <v>90000</v>
      </c>
      <c r="M76">
        <f t="shared" si="5"/>
        <v>60000</v>
      </c>
      <c r="N76">
        <f t="shared" si="6"/>
        <v>30000</v>
      </c>
      <c r="O76" s="2">
        <f t="shared" si="7"/>
        <v>0.33333333333333331</v>
      </c>
    </row>
    <row r="77" spans="1:15">
      <c r="A77" t="s">
        <v>227</v>
      </c>
      <c r="B77" t="s">
        <v>166</v>
      </c>
      <c r="C77" t="s">
        <v>16</v>
      </c>
      <c r="D77" t="s">
        <v>111</v>
      </c>
      <c r="E77" t="s">
        <v>124</v>
      </c>
      <c r="F77">
        <v>1</v>
      </c>
      <c r="G77">
        <v>18000</v>
      </c>
      <c r="H77" t="s">
        <v>41</v>
      </c>
      <c r="I77" t="str">
        <f>_xlfn.XLOOKUP(E77,'Products Master'!A:A,'Products Master'!B:B)</f>
        <v>Storage</v>
      </c>
      <c r="J77">
        <f>_xlfn.XLOOKUP(E77,'Products Master'!A:A,'Products Master'!C:C)</f>
        <v>12000</v>
      </c>
      <c r="K77" t="str">
        <f>_xlfn.XLOOKUP(E77,'Products Master'!A:A,'Products Master'!D:D)</f>
        <v>Kingston</v>
      </c>
      <c r="L77">
        <f t="shared" si="4"/>
        <v>18000</v>
      </c>
      <c r="M77">
        <f t="shared" si="5"/>
        <v>12000</v>
      </c>
      <c r="N77">
        <f t="shared" si="6"/>
        <v>6000</v>
      </c>
      <c r="O77" s="2">
        <f t="shared" si="7"/>
        <v>0.33333333333333331</v>
      </c>
    </row>
    <row r="78" spans="1:15">
      <c r="A78" t="s">
        <v>228</v>
      </c>
      <c r="B78" t="s">
        <v>229</v>
      </c>
      <c r="C78" t="s">
        <v>230</v>
      </c>
      <c r="D78" t="s">
        <v>17</v>
      </c>
      <c r="E78" t="s">
        <v>18</v>
      </c>
      <c r="F78">
        <v>4</v>
      </c>
      <c r="G78">
        <v>45000</v>
      </c>
      <c r="H78" t="s">
        <v>19</v>
      </c>
      <c r="I78" t="str">
        <f>_xlfn.XLOOKUP(E78,'Products Master'!A:A,'Products Master'!B:B)</f>
        <v>Electronics</v>
      </c>
      <c r="J78">
        <f>_xlfn.XLOOKUP(E78,'Products Master'!A:A,'Products Master'!C:C)</f>
        <v>35000</v>
      </c>
      <c r="K78" t="str">
        <f>_xlfn.XLOOKUP(E78,'Products Master'!A:A,'Products Master'!D:D)</f>
        <v>HP</v>
      </c>
      <c r="L78">
        <f t="shared" si="4"/>
        <v>180000</v>
      </c>
      <c r="M78">
        <f t="shared" si="5"/>
        <v>140000</v>
      </c>
      <c r="N78">
        <f t="shared" si="6"/>
        <v>40000</v>
      </c>
      <c r="O78" s="2">
        <f t="shared" si="7"/>
        <v>0.22222222222222221</v>
      </c>
    </row>
    <row r="79" spans="1:15">
      <c r="A79" t="s">
        <v>231</v>
      </c>
      <c r="B79" t="s">
        <v>232</v>
      </c>
      <c r="C79" t="s">
        <v>233</v>
      </c>
      <c r="D79" t="s">
        <v>29</v>
      </c>
      <c r="E79" t="s">
        <v>49</v>
      </c>
      <c r="F79">
        <v>3</v>
      </c>
      <c r="G79">
        <v>9500</v>
      </c>
      <c r="H79" t="s">
        <v>50</v>
      </c>
      <c r="I79" t="str">
        <f>_xlfn.XLOOKUP(E79,'Products Master'!A:A,'Products Master'!B:B)</f>
        <v>Accessories</v>
      </c>
      <c r="J79">
        <f>_xlfn.XLOOKUP(E79,'Products Master'!A:A,'Products Master'!C:C)</f>
        <v>7000</v>
      </c>
      <c r="K79" t="str">
        <f>_xlfn.XLOOKUP(E79,'Products Master'!A:A,'Products Master'!D:D)</f>
        <v>Logitech</v>
      </c>
      <c r="L79">
        <f t="shared" si="4"/>
        <v>28500</v>
      </c>
      <c r="M79">
        <f t="shared" si="5"/>
        <v>21000</v>
      </c>
      <c r="N79">
        <f t="shared" si="6"/>
        <v>7500</v>
      </c>
      <c r="O79" s="2">
        <f t="shared" si="7"/>
        <v>0.26315789473684209</v>
      </c>
    </row>
    <row r="80" spans="1:15">
      <c r="A80" t="s">
        <v>234</v>
      </c>
      <c r="B80" t="s">
        <v>235</v>
      </c>
      <c r="C80" t="s">
        <v>33</v>
      </c>
      <c r="D80" t="s">
        <v>115</v>
      </c>
      <c r="E80" t="s">
        <v>124</v>
      </c>
      <c r="F80">
        <v>1</v>
      </c>
      <c r="G80">
        <v>18000</v>
      </c>
      <c r="H80" t="s">
        <v>41</v>
      </c>
      <c r="I80" t="str">
        <f>_xlfn.XLOOKUP(E80,'Products Master'!A:A,'Products Master'!B:B)</f>
        <v>Storage</v>
      </c>
      <c r="J80">
        <f>_xlfn.XLOOKUP(E80,'Products Master'!A:A,'Products Master'!C:C)</f>
        <v>12000</v>
      </c>
      <c r="K80" t="str">
        <f>_xlfn.XLOOKUP(E80,'Products Master'!A:A,'Products Master'!D:D)</f>
        <v>Kingston</v>
      </c>
      <c r="L80">
        <f t="shared" si="4"/>
        <v>18000</v>
      </c>
      <c r="M80">
        <f t="shared" si="5"/>
        <v>12000</v>
      </c>
      <c r="N80">
        <f t="shared" si="6"/>
        <v>6000</v>
      </c>
      <c r="O80" s="2">
        <f t="shared" si="7"/>
        <v>0.33333333333333331</v>
      </c>
    </row>
    <row r="81" spans="1:15">
      <c r="A81" t="s">
        <v>236</v>
      </c>
      <c r="B81" t="s">
        <v>237</v>
      </c>
      <c r="C81" t="s">
        <v>57</v>
      </c>
      <c r="D81" t="s">
        <v>23</v>
      </c>
      <c r="E81" t="s">
        <v>124</v>
      </c>
      <c r="F81">
        <v>3</v>
      </c>
      <c r="G81">
        <v>18000</v>
      </c>
      <c r="H81" t="s">
        <v>95</v>
      </c>
      <c r="I81" t="str">
        <f>_xlfn.XLOOKUP(E81,'Products Master'!A:A,'Products Master'!B:B)</f>
        <v>Storage</v>
      </c>
      <c r="J81">
        <f>_xlfn.XLOOKUP(E81,'Products Master'!A:A,'Products Master'!C:C)</f>
        <v>12000</v>
      </c>
      <c r="K81" t="str">
        <f>_xlfn.XLOOKUP(E81,'Products Master'!A:A,'Products Master'!D:D)</f>
        <v>Kingston</v>
      </c>
      <c r="L81">
        <f t="shared" si="4"/>
        <v>54000</v>
      </c>
      <c r="M81">
        <f t="shared" si="5"/>
        <v>36000</v>
      </c>
      <c r="N81">
        <f t="shared" si="6"/>
        <v>18000</v>
      </c>
      <c r="O81" s="2">
        <f t="shared" si="7"/>
        <v>0.33333333333333331</v>
      </c>
    </row>
    <row r="82" spans="1:15">
      <c r="A82" t="s">
        <v>238</v>
      </c>
      <c r="B82" t="s">
        <v>239</v>
      </c>
      <c r="C82" t="s">
        <v>233</v>
      </c>
      <c r="D82" t="s">
        <v>17</v>
      </c>
      <c r="E82" t="s">
        <v>18</v>
      </c>
      <c r="F82">
        <v>3</v>
      </c>
      <c r="G82">
        <v>45000</v>
      </c>
      <c r="H82" t="s">
        <v>25</v>
      </c>
      <c r="I82" t="str">
        <f>_xlfn.XLOOKUP(E82,'Products Master'!A:A,'Products Master'!B:B)</f>
        <v>Electronics</v>
      </c>
      <c r="J82">
        <f>_xlfn.XLOOKUP(E82,'Products Master'!A:A,'Products Master'!C:C)</f>
        <v>35000</v>
      </c>
      <c r="K82" t="str">
        <f>_xlfn.XLOOKUP(E82,'Products Master'!A:A,'Products Master'!D:D)</f>
        <v>HP</v>
      </c>
      <c r="L82">
        <f t="shared" si="4"/>
        <v>135000</v>
      </c>
      <c r="M82">
        <f t="shared" si="5"/>
        <v>105000</v>
      </c>
      <c r="N82">
        <f t="shared" si="6"/>
        <v>30000</v>
      </c>
      <c r="O82" s="2">
        <f t="shared" si="7"/>
        <v>0.22222222222222221</v>
      </c>
    </row>
    <row r="83" spans="1:15">
      <c r="A83" t="s">
        <v>240</v>
      </c>
      <c r="B83" t="s">
        <v>241</v>
      </c>
      <c r="C83" t="s">
        <v>80</v>
      </c>
      <c r="D83" t="s">
        <v>115</v>
      </c>
      <c r="E83" t="s">
        <v>124</v>
      </c>
      <c r="F83">
        <v>5</v>
      </c>
      <c r="G83">
        <v>18000</v>
      </c>
      <c r="H83" t="s">
        <v>66</v>
      </c>
      <c r="I83" t="str">
        <f>_xlfn.XLOOKUP(E83,'Products Master'!A:A,'Products Master'!B:B)</f>
        <v>Storage</v>
      </c>
      <c r="J83">
        <f>_xlfn.XLOOKUP(E83,'Products Master'!A:A,'Products Master'!C:C)</f>
        <v>12000</v>
      </c>
      <c r="K83" t="str">
        <f>_xlfn.XLOOKUP(E83,'Products Master'!A:A,'Products Master'!D:D)</f>
        <v>Kingston</v>
      </c>
      <c r="L83">
        <f t="shared" si="4"/>
        <v>90000</v>
      </c>
      <c r="M83">
        <f t="shared" si="5"/>
        <v>60000</v>
      </c>
      <c r="N83">
        <f t="shared" si="6"/>
        <v>30000</v>
      </c>
      <c r="O83" s="2">
        <f t="shared" si="7"/>
        <v>0.33333333333333331</v>
      </c>
    </row>
    <row r="84" spans="1:15">
      <c r="A84" t="s">
        <v>242</v>
      </c>
      <c r="B84" t="s">
        <v>243</v>
      </c>
      <c r="C84" t="s">
        <v>16</v>
      </c>
      <c r="D84" t="s">
        <v>29</v>
      </c>
      <c r="E84" t="s">
        <v>24</v>
      </c>
      <c r="F84">
        <v>4</v>
      </c>
      <c r="G84">
        <v>2500</v>
      </c>
      <c r="H84" t="s">
        <v>116</v>
      </c>
      <c r="I84" t="str">
        <f>_xlfn.XLOOKUP(E84,'Products Master'!A:A,'Products Master'!B:B)</f>
        <v>Accessories</v>
      </c>
      <c r="J84">
        <f>_xlfn.XLOOKUP(E84,'Products Master'!A:A,'Products Master'!C:C)</f>
        <v>1500</v>
      </c>
      <c r="K84" t="str">
        <f>_xlfn.XLOOKUP(E84,'Products Master'!A:A,'Products Master'!D:D)</f>
        <v>Logitech</v>
      </c>
      <c r="L84">
        <f t="shared" si="4"/>
        <v>10000</v>
      </c>
      <c r="M84">
        <f t="shared" si="5"/>
        <v>6000</v>
      </c>
      <c r="N84">
        <f t="shared" si="6"/>
        <v>4000</v>
      </c>
      <c r="O84" s="2">
        <f t="shared" si="7"/>
        <v>0.4</v>
      </c>
    </row>
    <row r="85" spans="1:15">
      <c r="A85" t="s">
        <v>244</v>
      </c>
      <c r="B85" t="s">
        <v>245</v>
      </c>
      <c r="C85" t="s">
        <v>137</v>
      </c>
      <c r="D85" t="s">
        <v>45</v>
      </c>
      <c r="E85" t="s">
        <v>24</v>
      </c>
      <c r="F85">
        <v>1</v>
      </c>
      <c r="G85">
        <v>2500</v>
      </c>
      <c r="H85" t="s">
        <v>116</v>
      </c>
      <c r="I85" t="str">
        <f>_xlfn.XLOOKUP(E85,'Products Master'!A:A,'Products Master'!B:B)</f>
        <v>Accessories</v>
      </c>
      <c r="J85">
        <f>_xlfn.XLOOKUP(E85,'Products Master'!A:A,'Products Master'!C:C)</f>
        <v>1500</v>
      </c>
      <c r="K85" t="str">
        <f>_xlfn.XLOOKUP(E85,'Products Master'!A:A,'Products Master'!D:D)</f>
        <v>Logitech</v>
      </c>
      <c r="L85">
        <f t="shared" si="4"/>
        <v>2500</v>
      </c>
      <c r="M85">
        <f t="shared" si="5"/>
        <v>1500</v>
      </c>
      <c r="N85">
        <f t="shared" si="6"/>
        <v>1000</v>
      </c>
      <c r="O85" s="2">
        <f t="shared" si="7"/>
        <v>0.4</v>
      </c>
    </row>
    <row r="86" spans="1:15">
      <c r="A86" t="s">
        <v>246</v>
      </c>
      <c r="B86" t="s">
        <v>155</v>
      </c>
      <c r="C86" t="s">
        <v>247</v>
      </c>
      <c r="D86" t="s">
        <v>17</v>
      </c>
      <c r="E86" t="s">
        <v>179</v>
      </c>
      <c r="F86">
        <v>4</v>
      </c>
      <c r="G86">
        <v>80000</v>
      </c>
      <c r="H86" t="s">
        <v>41</v>
      </c>
      <c r="I86" t="str">
        <f>_xlfn.XLOOKUP(E86,'Products Master'!A:A,'Products Master'!B:B)</f>
        <v>Electronics</v>
      </c>
      <c r="J86">
        <f>_xlfn.XLOOKUP(E86,'Products Master'!A:A,'Products Master'!C:C)</f>
        <v>65000</v>
      </c>
      <c r="K86" t="str">
        <f>_xlfn.XLOOKUP(E86,'Products Master'!A:A,'Products Master'!D:D)</f>
        <v>Samsung</v>
      </c>
      <c r="L86">
        <f t="shared" si="4"/>
        <v>320000</v>
      </c>
      <c r="M86">
        <f t="shared" si="5"/>
        <v>260000</v>
      </c>
      <c r="N86">
        <f t="shared" si="6"/>
        <v>60000</v>
      </c>
      <c r="O86" s="2">
        <f t="shared" si="7"/>
        <v>0.1875</v>
      </c>
    </row>
    <row r="87" spans="1:15">
      <c r="A87" t="s">
        <v>248</v>
      </c>
      <c r="B87" t="s">
        <v>249</v>
      </c>
      <c r="C87" t="s">
        <v>44</v>
      </c>
      <c r="D87" t="s">
        <v>23</v>
      </c>
      <c r="E87" t="s">
        <v>12</v>
      </c>
      <c r="F87">
        <v>3</v>
      </c>
      <c r="G87">
        <v>150000</v>
      </c>
      <c r="H87" t="s">
        <v>19</v>
      </c>
      <c r="I87" t="str">
        <f>_xlfn.XLOOKUP(E87,'Products Master'!A:A,'Products Master'!B:B)</f>
        <v>Electronics</v>
      </c>
      <c r="J87">
        <f>_xlfn.XLOOKUP(E87,'Products Master'!A:A,'Products Master'!C:C)</f>
        <v>120000</v>
      </c>
      <c r="K87" t="str">
        <f>_xlfn.XLOOKUP(E87,'Products Master'!A:A,'Products Master'!D:D)</f>
        <v>Dell</v>
      </c>
      <c r="L87">
        <f t="shared" si="4"/>
        <v>450000</v>
      </c>
      <c r="M87">
        <f t="shared" si="5"/>
        <v>360000</v>
      </c>
      <c r="N87">
        <f t="shared" si="6"/>
        <v>90000</v>
      </c>
      <c r="O87" s="2">
        <f t="shared" si="7"/>
        <v>0.2</v>
      </c>
    </row>
    <row r="88" spans="1:15">
      <c r="A88" t="s">
        <v>250</v>
      </c>
      <c r="B88" t="s">
        <v>251</v>
      </c>
      <c r="C88" t="s">
        <v>80</v>
      </c>
      <c r="D88" t="s">
        <v>115</v>
      </c>
      <c r="E88" t="s">
        <v>35</v>
      </c>
      <c r="F88">
        <v>4</v>
      </c>
      <c r="G88">
        <v>2000</v>
      </c>
      <c r="H88" t="s">
        <v>41</v>
      </c>
      <c r="I88" t="str">
        <f>_xlfn.XLOOKUP(E88,'Products Master'!A:A,'Products Master'!B:B)</f>
        <v>Storage</v>
      </c>
      <c r="J88">
        <f>_xlfn.XLOOKUP(E88,'Products Master'!A:A,'Products Master'!C:C)</f>
        <v>1200</v>
      </c>
      <c r="K88" t="str">
        <f>_xlfn.XLOOKUP(E88,'Products Master'!A:A,'Products Master'!D:D)</f>
        <v>SanDisk</v>
      </c>
      <c r="L88">
        <f t="shared" si="4"/>
        <v>8000</v>
      </c>
      <c r="M88">
        <f t="shared" si="5"/>
        <v>4800</v>
      </c>
      <c r="N88">
        <f t="shared" si="6"/>
        <v>3200</v>
      </c>
      <c r="O88" s="2">
        <f t="shared" si="7"/>
        <v>0.4</v>
      </c>
    </row>
    <row r="89" spans="1:15">
      <c r="A89" t="s">
        <v>252</v>
      </c>
      <c r="B89" t="s">
        <v>253</v>
      </c>
      <c r="C89" t="s">
        <v>254</v>
      </c>
      <c r="D89" t="s">
        <v>111</v>
      </c>
      <c r="E89" t="s">
        <v>18</v>
      </c>
      <c r="F89">
        <v>3</v>
      </c>
      <c r="G89">
        <v>45000</v>
      </c>
      <c r="H89" t="s">
        <v>41</v>
      </c>
      <c r="I89" t="str">
        <f>_xlfn.XLOOKUP(E89,'Products Master'!A:A,'Products Master'!B:B)</f>
        <v>Electronics</v>
      </c>
      <c r="J89">
        <f>_xlfn.XLOOKUP(E89,'Products Master'!A:A,'Products Master'!C:C)</f>
        <v>35000</v>
      </c>
      <c r="K89" t="str">
        <f>_xlfn.XLOOKUP(E89,'Products Master'!A:A,'Products Master'!D:D)</f>
        <v>HP</v>
      </c>
      <c r="L89">
        <f t="shared" si="4"/>
        <v>135000</v>
      </c>
      <c r="M89">
        <f t="shared" si="5"/>
        <v>105000</v>
      </c>
      <c r="N89">
        <f t="shared" si="6"/>
        <v>30000</v>
      </c>
      <c r="O89" s="2">
        <f t="shared" si="7"/>
        <v>0.22222222222222221</v>
      </c>
    </row>
    <row r="90" spans="1:15">
      <c r="A90" t="s">
        <v>255</v>
      </c>
      <c r="B90" t="s">
        <v>161</v>
      </c>
      <c r="C90" t="s">
        <v>80</v>
      </c>
      <c r="D90" t="s">
        <v>11</v>
      </c>
      <c r="E90" t="s">
        <v>24</v>
      </c>
      <c r="F90">
        <v>4</v>
      </c>
      <c r="G90">
        <v>2500</v>
      </c>
      <c r="H90" t="s">
        <v>25</v>
      </c>
      <c r="I90" t="str">
        <f>_xlfn.XLOOKUP(E90,'Products Master'!A:A,'Products Master'!B:B)</f>
        <v>Accessories</v>
      </c>
      <c r="J90">
        <f>_xlfn.XLOOKUP(E90,'Products Master'!A:A,'Products Master'!C:C)</f>
        <v>1500</v>
      </c>
      <c r="K90" t="str">
        <f>_xlfn.XLOOKUP(E90,'Products Master'!A:A,'Products Master'!D:D)</f>
        <v>Logitech</v>
      </c>
      <c r="L90">
        <f t="shared" si="4"/>
        <v>10000</v>
      </c>
      <c r="M90">
        <f t="shared" si="5"/>
        <v>6000</v>
      </c>
      <c r="N90">
        <f t="shared" si="6"/>
        <v>4000</v>
      </c>
      <c r="O90" s="2">
        <f t="shared" si="7"/>
        <v>0.4</v>
      </c>
    </row>
    <row r="91" spans="1:15">
      <c r="A91" t="s">
        <v>256</v>
      </c>
      <c r="B91" t="s">
        <v>257</v>
      </c>
      <c r="C91" t="s">
        <v>176</v>
      </c>
      <c r="D91" t="s">
        <v>29</v>
      </c>
      <c r="E91" t="s">
        <v>49</v>
      </c>
      <c r="F91">
        <v>4</v>
      </c>
      <c r="G91">
        <v>9500</v>
      </c>
      <c r="H91" t="s">
        <v>41</v>
      </c>
      <c r="I91" t="str">
        <f>_xlfn.XLOOKUP(E91,'Products Master'!A:A,'Products Master'!B:B)</f>
        <v>Accessories</v>
      </c>
      <c r="J91">
        <f>_xlfn.XLOOKUP(E91,'Products Master'!A:A,'Products Master'!C:C)</f>
        <v>7000</v>
      </c>
      <c r="K91" t="str">
        <f>_xlfn.XLOOKUP(E91,'Products Master'!A:A,'Products Master'!D:D)</f>
        <v>Logitech</v>
      </c>
      <c r="L91">
        <f t="shared" si="4"/>
        <v>38000</v>
      </c>
      <c r="M91">
        <f t="shared" si="5"/>
        <v>28000</v>
      </c>
      <c r="N91">
        <f t="shared" si="6"/>
        <v>10000</v>
      </c>
      <c r="O91" s="2">
        <f t="shared" si="7"/>
        <v>0.26315789473684209</v>
      </c>
    </row>
    <row r="92" spans="1:15">
      <c r="A92" t="s">
        <v>258</v>
      </c>
      <c r="B92" t="s">
        <v>259</v>
      </c>
      <c r="C92" t="s">
        <v>110</v>
      </c>
      <c r="D92" t="s">
        <v>111</v>
      </c>
      <c r="E92" t="s">
        <v>35</v>
      </c>
      <c r="F92">
        <v>4</v>
      </c>
      <c r="G92">
        <v>2000</v>
      </c>
      <c r="H92" t="s">
        <v>36</v>
      </c>
      <c r="I92" t="str">
        <f>_xlfn.XLOOKUP(E92,'Products Master'!A:A,'Products Master'!B:B)</f>
        <v>Storage</v>
      </c>
      <c r="J92">
        <f>_xlfn.XLOOKUP(E92,'Products Master'!A:A,'Products Master'!C:C)</f>
        <v>1200</v>
      </c>
      <c r="K92" t="str">
        <f>_xlfn.XLOOKUP(E92,'Products Master'!A:A,'Products Master'!D:D)</f>
        <v>SanDisk</v>
      </c>
      <c r="L92">
        <f t="shared" si="4"/>
        <v>8000</v>
      </c>
      <c r="M92">
        <f t="shared" si="5"/>
        <v>4800</v>
      </c>
      <c r="N92">
        <f t="shared" si="6"/>
        <v>3200</v>
      </c>
      <c r="O92" s="2">
        <f t="shared" si="7"/>
        <v>0.4</v>
      </c>
    </row>
    <row r="93" spans="1:15">
      <c r="A93" t="s">
        <v>260</v>
      </c>
      <c r="B93" t="s">
        <v>85</v>
      </c>
      <c r="C93" t="s">
        <v>22</v>
      </c>
      <c r="D93" t="s">
        <v>34</v>
      </c>
      <c r="E93" t="s">
        <v>124</v>
      </c>
      <c r="F93">
        <v>1</v>
      </c>
      <c r="G93">
        <v>18000</v>
      </c>
      <c r="H93" t="s">
        <v>19</v>
      </c>
      <c r="I93" t="str">
        <f>_xlfn.XLOOKUP(E93,'Products Master'!A:A,'Products Master'!B:B)</f>
        <v>Storage</v>
      </c>
      <c r="J93">
        <f>_xlfn.XLOOKUP(E93,'Products Master'!A:A,'Products Master'!C:C)</f>
        <v>12000</v>
      </c>
      <c r="K93" t="str">
        <f>_xlfn.XLOOKUP(E93,'Products Master'!A:A,'Products Master'!D:D)</f>
        <v>Kingston</v>
      </c>
      <c r="L93">
        <f t="shared" si="4"/>
        <v>18000</v>
      </c>
      <c r="M93">
        <f t="shared" si="5"/>
        <v>12000</v>
      </c>
      <c r="N93">
        <f t="shared" si="6"/>
        <v>6000</v>
      </c>
      <c r="O93" s="2">
        <f t="shared" si="7"/>
        <v>0.33333333333333331</v>
      </c>
    </row>
    <row r="94" spans="1:15">
      <c r="A94" t="s">
        <v>261</v>
      </c>
      <c r="B94" t="s">
        <v>262</v>
      </c>
      <c r="C94" t="s">
        <v>263</v>
      </c>
      <c r="D94" t="s">
        <v>115</v>
      </c>
      <c r="E94" t="s">
        <v>35</v>
      </c>
      <c r="F94">
        <v>4</v>
      </c>
      <c r="G94">
        <v>2000</v>
      </c>
      <c r="H94" t="s">
        <v>13</v>
      </c>
      <c r="I94" t="str">
        <f>_xlfn.XLOOKUP(E94,'Products Master'!A:A,'Products Master'!B:B)</f>
        <v>Storage</v>
      </c>
      <c r="J94">
        <f>_xlfn.XLOOKUP(E94,'Products Master'!A:A,'Products Master'!C:C)</f>
        <v>1200</v>
      </c>
      <c r="K94" t="str">
        <f>_xlfn.XLOOKUP(E94,'Products Master'!A:A,'Products Master'!D:D)</f>
        <v>SanDisk</v>
      </c>
      <c r="L94">
        <f t="shared" si="4"/>
        <v>8000</v>
      </c>
      <c r="M94">
        <f t="shared" si="5"/>
        <v>4800</v>
      </c>
      <c r="N94">
        <f t="shared" si="6"/>
        <v>3200</v>
      </c>
      <c r="O94" s="2">
        <f t="shared" si="7"/>
        <v>0.4</v>
      </c>
    </row>
    <row r="95" spans="1:15">
      <c r="A95" t="s">
        <v>264</v>
      </c>
      <c r="B95" t="s">
        <v>265</v>
      </c>
      <c r="C95" t="s">
        <v>107</v>
      </c>
      <c r="D95" t="s">
        <v>17</v>
      </c>
      <c r="E95" t="s">
        <v>18</v>
      </c>
      <c r="F95">
        <v>1</v>
      </c>
      <c r="G95">
        <v>45000</v>
      </c>
      <c r="H95" t="s">
        <v>36</v>
      </c>
      <c r="I95" t="str">
        <f>_xlfn.XLOOKUP(E95,'Products Master'!A:A,'Products Master'!B:B)</f>
        <v>Electronics</v>
      </c>
      <c r="J95">
        <f>_xlfn.XLOOKUP(E95,'Products Master'!A:A,'Products Master'!C:C)</f>
        <v>35000</v>
      </c>
      <c r="K95" t="str">
        <f>_xlfn.XLOOKUP(E95,'Products Master'!A:A,'Products Master'!D:D)</f>
        <v>HP</v>
      </c>
      <c r="L95">
        <f t="shared" si="4"/>
        <v>45000</v>
      </c>
      <c r="M95">
        <f t="shared" si="5"/>
        <v>35000</v>
      </c>
      <c r="N95">
        <f t="shared" si="6"/>
        <v>10000</v>
      </c>
      <c r="O95" s="2">
        <f t="shared" si="7"/>
        <v>0.22222222222222221</v>
      </c>
    </row>
    <row r="96" spans="1:15">
      <c r="A96" t="s">
        <v>266</v>
      </c>
      <c r="B96" t="s">
        <v>267</v>
      </c>
      <c r="C96" t="s">
        <v>233</v>
      </c>
      <c r="D96" t="s">
        <v>45</v>
      </c>
      <c r="E96" t="s">
        <v>35</v>
      </c>
      <c r="F96">
        <v>4</v>
      </c>
      <c r="G96">
        <v>2000</v>
      </c>
      <c r="H96" t="s">
        <v>50</v>
      </c>
      <c r="I96" t="str">
        <f>_xlfn.XLOOKUP(E96,'Products Master'!A:A,'Products Master'!B:B)</f>
        <v>Storage</v>
      </c>
      <c r="J96">
        <f>_xlfn.XLOOKUP(E96,'Products Master'!A:A,'Products Master'!C:C)</f>
        <v>1200</v>
      </c>
      <c r="K96" t="str">
        <f>_xlfn.XLOOKUP(E96,'Products Master'!A:A,'Products Master'!D:D)</f>
        <v>SanDisk</v>
      </c>
      <c r="L96">
        <f t="shared" si="4"/>
        <v>8000</v>
      </c>
      <c r="M96">
        <f t="shared" si="5"/>
        <v>4800</v>
      </c>
      <c r="N96">
        <f t="shared" si="6"/>
        <v>3200</v>
      </c>
      <c r="O96" s="2">
        <f t="shared" si="7"/>
        <v>0.4</v>
      </c>
    </row>
    <row r="97" spans="1:15">
      <c r="A97" t="s">
        <v>268</v>
      </c>
      <c r="B97" t="s">
        <v>126</v>
      </c>
      <c r="C97" t="s">
        <v>162</v>
      </c>
      <c r="D97" t="s">
        <v>29</v>
      </c>
      <c r="E97" t="s">
        <v>124</v>
      </c>
      <c r="F97">
        <v>4</v>
      </c>
      <c r="G97">
        <v>18000</v>
      </c>
      <c r="H97" t="s">
        <v>19</v>
      </c>
      <c r="I97" t="str">
        <f>_xlfn.XLOOKUP(E97,'Products Master'!A:A,'Products Master'!B:B)</f>
        <v>Storage</v>
      </c>
      <c r="J97">
        <f>_xlfn.XLOOKUP(E97,'Products Master'!A:A,'Products Master'!C:C)</f>
        <v>12000</v>
      </c>
      <c r="K97" t="str">
        <f>_xlfn.XLOOKUP(E97,'Products Master'!A:A,'Products Master'!D:D)</f>
        <v>Kingston</v>
      </c>
      <c r="L97">
        <f t="shared" si="4"/>
        <v>72000</v>
      </c>
      <c r="M97">
        <f t="shared" si="5"/>
        <v>48000</v>
      </c>
      <c r="N97">
        <f t="shared" si="6"/>
        <v>24000</v>
      </c>
      <c r="O97" s="2">
        <f t="shared" si="7"/>
        <v>0.33333333333333331</v>
      </c>
    </row>
    <row r="98" spans="1:15">
      <c r="A98" t="s">
        <v>269</v>
      </c>
      <c r="B98" t="s">
        <v>270</v>
      </c>
      <c r="C98" t="s">
        <v>156</v>
      </c>
      <c r="D98" t="s">
        <v>45</v>
      </c>
      <c r="E98" t="s">
        <v>99</v>
      </c>
      <c r="F98">
        <v>1</v>
      </c>
      <c r="G98">
        <v>5000</v>
      </c>
      <c r="H98" t="s">
        <v>25</v>
      </c>
      <c r="I98" t="str">
        <f>_xlfn.XLOOKUP(E98,'Products Master'!A:A,'Products Master'!B:B)</f>
        <v>Accessories</v>
      </c>
      <c r="J98">
        <f>_xlfn.XLOOKUP(E98,'Products Master'!A:A,'Products Master'!C:C)</f>
        <v>3500</v>
      </c>
      <c r="K98" t="str">
        <f>_xlfn.XLOOKUP(E98,'Products Master'!A:A,'Products Master'!D:D)</f>
        <v>Logitech</v>
      </c>
      <c r="L98">
        <f t="shared" si="4"/>
        <v>5000</v>
      </c>
      <c r="M98">
        <f t="shared" si="5"/>
        <v>3500</v>
      </c>
      <c r="N98">
        <f t="shared" si="6"/>
        <v>1500</v>
      </c>
      <c r="O98" s="2">
        <f t="shared" si="7"/>
        <v>0.3</v>
      </c>
    </row>
    <row r="99" spans="1:15">
      <c r="A99" t="s">
        <v>271</v>
      </c>
      <c r="B99" t="s">
        <v>151</v>
      </c>
      <c r="C99" t="s">
        <v>127</v>
      </c>
      <c r="D99" t="s">
        <v>11</v>
      </c>
      <c r="E99" t="s">
        <v>124</v>
      </c>
      <c r="F99">
        <v>3</v>
      </c>
      <c r="G99">
        <v>18000</v>
      </c>
      <c r="H99" t="s">
        <v>95</v>
      </c>
      <c r="I99" t="str">
        <f>_xlfn.XLOOKUP(E99,'Products Master'!A:A,'Products Master'!B:B)</f>
        <v>Storage</v>
      </c>
      <c r="J99">
        <f>_xlfn.XLOOKUP(E99,'Products Master'!A:A,'Products Master'!C:C)</f>
        <v>12000</v>
      </c>
      <c r="K99" t="str">
        <f>_xlfn.XLOOKUP(E99,'Products Master'!A:A,'Products Master'!D:D)</f>
        <v>Kingston</v>
      </c>
      <c r="L99">
        <f t="shared" si="4"/>
        <v>54000</v>
      </c>
      <c r="M99">
        <f t="shared" si="5"/>
        <v>36000</v>
      </c>
      <c r="N99">
        <f t="shared" si="6"/>
        <v>18000</v>
      </c>
      <c r="O99" s="2">
        <f t="shared" si="7"/>
        <v>0.33333333333333331</v>
      </c>
    </row>
    <row r="100" spans="1:15">
      <c r="A100" t="s">
        <v>272</v>
      </c>
      <c r="B100" t="s">
        <v>273</v>
      </c>
      <c r="C100" t="s">
        <v>230</v>
      </c>
      <c r="D100" t="s">
        <v>17</v>
      </c>
      <c r="E100" t="s">
        <v>18</v>
      </c>
      <c r="F100">
        <v>2</v>
      </c>
      <c r="G100">
        <v>45000</v>
      </c>
      <c r="H100" t="s">
        <v>30</v>
      </c>
      <c r="I100" t="str">
        <f>_xlfn.XLOOKUP(E100,'Products Master'!A:A,'Products Master'!B:B)</f>
        <v>Electronics</v>
      </c>
      <c r="J100">
        <f>_xlfn.XLOOKUP(E100,'Products Master'!A:A,'Products Master'!C:C)</f>
        <v>35000</v>
      </c>
      <c r="K100" t="str">
        <f>_xlfn.XLOOKUP(E100,'Products Master'!A:A,'Products Master'!D:D)</f>
        <v>HP</v>
      </c>
      <c r="L100">
        <f t="shared" si="4"/>
        <v>90000</v>
      </c>
      <c r="M100">
        <f t="shared" si="5"/>
        <v>70000</v>
      </c>
      <c r="N100">
        <f t="shared" si="6"/>
        <v>20000</v>
      </c>
      <c r="O100" s="2">
        <f t="shared" si="7"/>
        <v>0.22222222222222221</v>
      </c>
    </row>
    <row r="101" spans="1:15">
      <c r="A101" t="s">
        <v>274</v>
      </c>
      <c r="B101" t="s">
        <v>275</v>
      </c>
      <c r="C101" t="s">
        <v>152</v>
      </c>
      <c r="D101" t="s">
        <v>111</v>
      </c>
      <c r="E101" t="s">
        <v>179</v>
      </c>
      <c r="F101">
        <v>3</v>
      </c>
      <c r="G101">
        <v>80000</v>
      </c>
      <c r="H101" t="s">
        <v>25</v>
      </c>
      <c r="I101" t="str">
        <f>_xlfn.XLOOKUP(E101,'Products Master'!A:A,'Products Master'!B:B)</f>
        <v>Electronics</v>
      </c>
      <c r="J101">
        <f>_xlfn.XLOOKUP(E101,'Products Master'!A:A,'Products Master'!C:C)</f>
        <v>65000</v>
      </c>
      <c r="K101" t="str">
        <f>_xlfn.XLOOKUP(E101,'Products Master'!A:A,'Products Master'!D:D)</f>
        <v>Samsung</v>
      </c>
      <c r="L101">
        <f t="shared" si="4"/>
        <v>240000</v>
      </c>
      <c r="M101">
        <f t="shared" si="5"/>
        <v>195000</v>
      </c>
      <c r="N101">
        <f t="shared" si="6"/>
        <v>45000</v>
      </c>
      <c r="O101" s="2">
        <f t="shared" si="7"/>
        <v>0.1875</v>
      </c>
    </row>
    <row r="102" spans="1:15">
      <c r="A102" t="s">
        <v>276</v>
      </c>
      <c r="B102" t="s">
        <v>270</v>
      </c>
      <c r="C102" t="s">
        <v>80</v>
      </c>
      <c r="D102" t="s">
        <v>11</v>
      </c>
      <c r="E102" t="s">
        <v>54</v>
      </c>
      <c r="F102">
        <v>5</v>
      </c>
      <c r="G102">
        <v>7000</v>
      </c>
      <c r="H102" t="s">
        <v>116</v>
      </c>
      <c r="I102" t="str">
        <f>_xlfn.XLOOKUP(E102,'Products Master'!A:A,'Products Master'!B:B)</f>
        <v>Accessories</v>
      </c>
      <c r="J102">
        <f>_xlfn.XLOOKUP(E102,'Products Master'!A:A,'Products Master'!C:C)</f>
        <v>5000</v>
      </c>
      <c r="K102" t="str">
        <f>_xlfn.XLOOKUP(E102,'Products Master'!A:A,'Products Master'!D:D)</f>
        <v>Sony</v>
      </c>
      <c r="L102">
        <f t="shared" si="4"/>
        <v>35000</v>
      </c>
      <c r="M102">
        <f t="shared" si="5"/>
        <v>25000</v>
      </c>
      <c r="N102">
        <f t="shared" si="6"/>
        <v>10000</v>
      </c>
      <c r="O102" s="2">
        <f t="shared" si="7"/>
        <v>0.2857142857142857</v>
      </c>
    </row>
    <row r="103" spans="1:15">
      <c r="A103" t="s">
        <v>277</v>
      </c>
      <c r="B103" t="s">
        <v>278</v>
      </c>
      <c r="C103" t="s">
        <v>10</v>
      </c>
      <c r="D103" t="s">
        <v>29</v>
      </c>
      <c r="E103" t="s">
        <v>40</v>
      </c>
      <c r="F103">
        <v>2</v>
      </c>
      <c r="G103">
        <v>60000</v>
      </c>
      <c r="H103" t="s">
        <v>30</v>
      </c>
      <c r="I103" t="str">
        <f>_xlfn.XLOOKUP(E103,'Products Master'!A:A,'Products Master'!B:B)</f>
        <v>Electronics</v>
      </c>
      <c r="J103">
        <f>_xlfn.XLOOKUP(E103,'Products Master'!A:A,'Products Master'!C:C)</f>
        <v>50000</v>
      </c>
      <c r="K103" t="str">
        <f>_xlfn.XLOOKUP(E103,'Products Master'!A:A,'Products Master'!D:D)</f>
        <v>LG</v>
      </c>
      <c r="L103">
        <f t="shared" si="4"/>
        <v>120000</v>
      </c>
      <c r="M103">
        <f t="shared" si="5"/>
        <v>100000</v>
      </c>
      <c r="N103">
        <f t="shared" si="6"/>
        <v>20000</v>
      </c>
      <c r="O103" s="2">
        <f t="shared" si="7"/>
        <v>0.16666666666666666</v>
      </c>
    </row>
    <row r="104" spans="1:15">
      <c r="A104" t="s">
        <v>279</v>
      </c>
      <c r="B104" t="s">
        <v>280</v>
      </c>
      <c r="C104" t="s">
        <v>22</v>
      </c>
      <c r="D104" t="s">
        <v>23</v>
      </c>
      <c r="E104" t="s">
        <v>99</v>
      </c>
      <c r="F104">
        <v>5</v>
      </c>
      <c r="G104">
        <v>5000</v>
      </c>
      <c r="H104" t="s">
        <v>30</v>
      </c>
      <c r="I104" t="str">
        <f>_xlfn.XLOOKUP(E104,'Products Master'!A:A,'Products Master'!B:B)</f>
        <v>Accessories</v>
      </c>
      <c r="J104">
        <f>_xlfn.XLOOKUP(E104,'Products Master'!A:A,'Products Master'!C:C)</f>
        <v>3500</v>
      </c>
      <c r="K104" t="str">
        <f>_xlfn.XLOOKUP(E104,'Products Master'!A:A,'Products Master'!D:D)</f>
        <v>Logitech</v>
      </c>
      <c r="L104">
        <f t="shared" si="4"/>
        <v>25000</v>
      </c>
      <c r="M104">
        <f t="shared" si="5"/>
        <v>17500</v>
      </c>
      <c r="N104">
        <f t="shared" si="6"/>
        <v>7500</v>
      </c>
      <c r="O104" s="2">
        <f t="shared" si="7"/>
        <v>0.3</v>
      </c>
    </row>
    <row r="105" spans="1:15">
      <c r="A105" t="s">
        <v>281</v>
      </c>
      <c r="B105" t="s">
        <v>282</v>
      </c>
      <c r="C105" t="s">
        <v>110</v>
      </c>
      <c r="D105" t="s">
        <v>111</v>
      </c>
      <c r="E105" t="s">
        <v>179</v>
      </c>
      <c r="F105">
        <v>3</v>
      </c>
      <c r="G105">
        <v>80000</v>
      </c>
      <c r="H105" t="s">
        <v>66</v>
      </c>
      <c r="I105" t="str">
        <f>_xlfn.XLOOKUP(E105,'Products Master'!A:A,'Products Master'!B:B)</f>
        <v>Electronics</v>
      </c>
      <c r="J105">
        <f>_xlfn.XLOOKUP(E105,'Products Master'!A:A,'Products Master'!C:C)</f>
        <v>65000</v>
      </c>
      <c r="K105" t="str">
        <f>_xlfn.XLOOKUP(E105,'Products Master'!A:A,'Products Master'!D:D)</f>
        <v>Samsung</v>
      </c>
      <c r="L105">
        <f t="shared" si="4"/>
        <v>240000</v>
      </c>
      <c r="M105">
        <f t="shared" si="5"/>
        <v>195000</v>
      </c>
      <c r="N105">
        <f t="shared" si="6"/>
        <v>45000</v>
      </c>
      <c r="O105" s="2">
        <f t="shared" si="7"/>
        <v>0.1875</v>
      </c>
    </row>
    <row r="106" spans="1:15">
      <c r="A106" t="s">
        <v>283</v>
      </c>
      <c r="B106" t="s">
        <v>284</v>
      </c>
      <c r="C106" t="s">
        <v>285</v>
      </c>
      <c r="D106" t="s">
        <v>34</v>
      </c>
      <c r="E106" t="s">
        <v>54</v>
      </c>
      <c r="F106">
        <v>4</v>
      </c>
      <c r="G106">
        <v>7000</v>
      </c>
      <c r="H106" t="s">
        <v>30</v>
      </c>
      <c r="I106" t="str">
        <f>_xlfn.XLOOKUP(E106,'Products Master'!A:A,'Products Master'!B:B)</f>
        <v>Accessories</v>
      </c>
      <c r="J106">
        <f>_xlfn.XLOOKUP(E106,'Products Master'!A:A,'Products Master'!C:C)</f>
        <v>5000</v>
      </c>
      <c r="K106" t="str">
        <f>_xlfn.XLOOKUP(E106,'Products Master'!A:A,'Products Master'!D:D)</f>
        <v>Sony</v>
      </c>
      <c r="L106">
        <f t="shared" si="4"/>
        <v>28000</v>
      </c>
      <c r="M106">
        <f t="shared" si="5"/>
        <v>20000</v>
      </c>
      <c r="N106">
        <f t="shared" si="6"/>
        <v>8000</v>
      </c>
      <c r="O106" s="2">
        <f t="shared" si="7"/>
        <v>0.2857142857142857</v>
      </c>
    </row>
    <row r="107" spans="1:15">
      <c r="A107" t="s">
        <v>286</v>
      </c>
      <c r="B107" t="s">
        <v>287</v>
      </c>
      <c r="C107" t="s">
        <v>288</v>
      </c>
      <c r="D107" t="s">
        <v>29</v>
      </c>
      <c r="E107" t="s">
        <v>49</v>
      </c>
      <c r="F107">
        <v>3</v>
      </c>
      <c r="G107">
        <v>9500</v>
      </c>
      <c r="H107" t="s">
        <v>50</v>
      </c>
      <c r="I107" t="str">
        <f>_xlfn.XLOOKUP(E107,'Products Master'!A:A,'Products Master'!B:B)</f>
        <v>Accessories</v>
      </c>
      <c r="J107">
        <f>_xlfn.XLOOKUP(E107,'Products Master'!A:A,'Products Master'!C:C)</f>
        <v>7000</v>
      </c>
      <c r="K107" t="str">
        <f>_xlfn.XLOOKUP(E107,'Products Master'!A:A,'Products Master'!D:D)</f>
        <v>Logitech</v>
      </c>
      <c r="L107">
        <f t="shared" si="4"/>
        <v>28500</v>
      </c>
      <c r="M107">
        <f t="shared" si="5"/>
        <v>21000</v>
      </c>
      <c r="N107">
        <f t="shared" si="6"/>
        <v>7500</v>
      </c>
      <c r="O107" s="2">
        <f t="shared" si="7"/>
        <v>0.26315789473684209</v>
      </c>
    </row>
    <row r="108" spans="1:15">
      <c r="A108" t="s">
        <v>289</v>
      </c>
      <c r="B108" t="s">
        <v>290</v>
      </c>
      <c r="C108" t="s">
        <v>137</v>
      </c>
      <c r="D108" t="s">
        <v>111</v>
      </c>
      <c r="E108" t="s">
        <v>124</v>
      </c>
      <c r="F108">
        <v>2</v>
      </c>
      <c r="G108">
        <v>18000</v>
      </c>
      <c r="H108" t="s">
        <v>116</v>
      </c>
      <c r="I108" t="str">
        <f>_xlfn.XLOOKUP(E108,'Products Master'!A:A,'Products Master'!B:B)</f>
        <v>Storage</v>
      </c>
      <c r="J108">
        <f>_xlfn.XLOOKUP(E108,'Products Master'!A:A,'Products Master'!C:C)</f>
        <v>12000</v>
      </c>
      <c r="K108" t="str">
        <f>_xlfn.XLOOKUP(E108,'Products Master'!A:A,'Products Master'!D:D)</f>
        <v>Kingston</v>
      </c>
      <c r="L108">
        <f t="shared" si="4"/>
        <v>36000</v>
      </c>
      <c r="M108">
        <f t="shared" si="5"/>
        <v>24000</v>
      </c>
      <c r="N108">
        <f t="shared" si="6"/>
        <v>12000</v>
      </c>
      <c r="O108" s="2">
        <f t="shared" si="7"/>
        <v>0.33333333333333331</v>
      </c>
    </row>
    <row r="109" spans="1:15">
      <c r="A109" t="s">
        <v>291</v>
      </c>
      <c r="B109" t="s">
        <v>292</v>
      </c>
      <c r="C109" t="s">
        <v>143</v>
      </c>
      <c r="D109" t="s">
        <v>17</v>
      </c>
      <c r="E109" t="s">
        <v>179</v>
      </c>
      <c r="F109">
        <v>4</v>
      </c>
      <c r="G109">
        <v>80000</v>
      </c>
      <c r="H109" t="s">
        <v>116</v>
      </c>
      <c r="I109" t="str">
        <f>_xlfn.XLOOKUP(E109,'Products Master'!A:A,'Products Master'!B:B)</f>
        <v>Electronics</v>
      </c>
      <c r="J109">
        <f>_xlfn.XLOOKUP(E109,'Products Master'!A:A,'Products Master'!C:C)</f>
        <v>65000</v>
      </c>
      <c r="K109" t="str">
        <f>_xlfn.XLOOKUP(E109,'Products Master'!A:A,'Products Master'!D:D)</f>
        <v>Samsung</v>
      </c>
      <c r="L109">
        <f t="shared" si="4"/>
        <v>320000</v>
      </c>
      <c r="M109">
        <f t="shared" si="5"/>
        <v>260000</v>
      </c>
      <c r="N109">
        <f t="shared" si="6"/>
        <v>60000</v>
      </c>
      <c r="O109" s="2">
        <f t="shared" si="7"/>
        <v>0.1875</v>
      </c>
    </row>
    <row r="110" spans="1:15">
      <c r="A110" t="s">
        <v>293</v>
      </c>
      <c r="B110" t="s">
        <v>172</v>
      </c>
      <c r="C110" t="s">
        <v>294</v>
      </c>
      <c r="D110" t="s">
        <v>23</v>
      </c>
      <c r="E110" t="s">
        <v>54</v>
      </c>
      <c r="F110">
        <v>2</v>
      </c>
      <c r="G110">
        <v>7000</v>
      </c>
      <c r="H110" t="s">
        <v>95</v>
      </c>
      <c r="I110" t="str">
        <f>_xlfn.XLOOKUP(E110,'Products Master'!A:A,'Products Master'!B:B)</f>
        <v>Accessories</v>
      </c>
      <c r="J110">
        <f>_xlfn.XLOOKUP(E110,'Products Master'!A:A,'Products Master'!C:C)</f>
        <v>5000</v>
      </c>
      <c r="K110" t="str">
        <f>_xlfn.XLOOKUP(E110,'Products Master'!A:A,'Products Master'!D:D)</f>
        <v>Sony</v>
      </c>
      <c r="L110">
        <f t="shared" si="4"/>
        <v>14000</v>
      </c>
      <c r="M110">
        <f t="shared" si="5"/>
        <v>10000</v>
      </c>
      <c r="N110">
        <f t="shared" si="6"/>
        <v>4000</v>
      </c>
      <c r="O110" s="2">
        <f t="shared" si="7"/>
        <v>0.2857142857142857</v>
      </c>
    </row>
    <row r="111" spans="1:15">
      <c r="A111" t="s">
        <v>295</v>
      </c>
      <c r="B111" t="s">
        <v>296</v>
      </c>
      <c r="C111" t="s">
        <v>88</v>
      </c>
      <c r="D111" t="s">
        <v>17</v>
      </c>
      <c r="E111" t="s">
        <v>179</v>
      </c>
      <c r="F111">
        <v>2</v>
      </c>
      <c r="G111">
        <v>80000</v>
      </c>
      <c r="H111" t="s">
        <v>116</v>
      </c>
      <c r="I111" t="str">
        <f>_xlfn.XLOOKUP(E111,'Products Master'!A:A,'Products Master'!B:B)</f>
        <v>Electronics</v>
      </c>
      <c r="J111">
        <f>_xlfn.XLOOKUP(E111,'Products Master'!A:A,'Products Master'!C:C)</f>
        <v>65000</v>
      </c>
      <c r="K111" t="str">
        <f>_xlfn.XLOOKUP(E111,'Products Master'!A:A,'Products Master'!D:D)</f>
        <v>Samsung</v>
      </c>
      <c r="L111">
        <f t="shared" si="4"/>
        <v>160000</v>
      </c>
      <c r="M111">
        <f t="shared" si="5"/>
        <v>130000</v>
      </c>
      <c r="N111">
        <f t="shared" si="6"/>
        <v>30000</v>
      </c>
      <c r="O111" s="2">
        <f t="shared" si="7"/>
        <v>0.1875</v>
      </c>
    </row>
    <row r="112" spans="1:15">
      <c r="A112" t="s">
        <v>297</v>
      </c>
      <c r="B112" t="s">
        <v>298</v>
      </c>
      <c r="C112" t="s">
        <v>299</v>
      </c>
      <c r="D112" t="s">
        <v>45</v>
      </c>
      <c r="E112" t="s">
        <v>99</v>
      </c>
      <c r="F112">
        <v>5</v>
      </c>
      <c r="G112">
        <v>5000</v>
      </c>
      <c r="H112" t="s">
        <v>30</v>
      </c>
      <c r="I112" t="str">
        <f>_xlfn.XLOOKUP(E112,'Products Master'!A:A,'Products Master'!B:B)</f>
        <v>Accessories</v>
      </c>
      <c r="J112">
        <f>_xlfn.XLOOKUP(E112,'Products Master'!A:A,'Products Master'!C:C)</f>
        <v>3500</v>
      </c>
      <c r="K112" t="str">
        <f>_xlfn.XLOOKUP(E112,'Products Master'!A:A,'Products Master'!D:D)</f>
        <v>Logitech</v>
      </c>
      <c r="L112">
        <f t="shared" si="4"/>
        <v>25000</v>
      </c>
      <c r="M112">
        <f t="shared" si="5"/>
        <v>17500</v>
      </c>
      <c r="N112">
        <f t="shared" si="6"/>
        <v>7500</v>
      </c>
      <c r="O112" s="2">
        <f t="shared" si="7"/>
        <v>0.3</v>
      </c>
    </row>
    <row r="113" spans="1:15">
      <c r="A113" t="s">
        <v>300</v>
      </c>
      <c r="B113" t="s">
        <v>301</v>
      </c>
      <c r="C113" t="s">
        <v>101</v>
      </c>
      <c r="D113" t="s">
        <v>17</v>
      </c>
      <c r="E113" t="s">
        <v>24</v>
      </c>
      <c r="F113">
        <v>3</v>
      </c>
      <c r="G113">
        <v>2500</v>
      </c>
      <c r="H113" t="s">
        <v>13</v>
      </c>
      <c r="I113" t="str">
        <f>_xlfn.XLOOKUP(E113,'Products Master'!A:A,'Products Master'!B:B)</f>
        <v>Accessories</v>
      </c>
      <c r="J113">
        <f>_xlfn.XLOOKUP(E113,'Products Master'!A:A,'Products Master'!C:C)</f>
        <v>1500</v>
      </c>
      <c r="K113" t="str">
        <f>_xlfn.XLOOKUP(E113,'Products Master'!A:A,'Products Master'!D:D)</f>
        <v>Logitech</v>
      </c>
      <c r="L113">
        <f t="shared" si="4"/>
        <v>7500</v>
      </c>
      <c r="M113">
        <f t="shared" si="5"/>
        <v>4500</v>
      </c>
      <c r="N113">
        <f t="shared" si="6"/>
        <v>3000</v>
      </c>
      <c r="O113" s="2">
        <f t="shared" si="7"/>
        <v>0.4</v>
      </c>
    </row>
    <row r="114" spans="1:15">
      <c r="A114" t="s">
        <v>302</v>
      </c>
      <c r="B114" t="s">
        <v>47</v>
      </c>
      <c r="C114" t="s">
        <v>303</v>
      </c>
      <c r="D114" t="s">
        <v>115</v>
      </c>
      <c r="E114" t="s">
        <v>54</v>
      </c>
      <c r="F114">
        <v>1</v>
      </c>
      <c r="G114">
        <v>7000</v>
      </c>
      <c r="H114" t="s">
        <v>116</v>
      </c>
      <c r="I114" t="str">
        <f>_xlfn.XLOOKUP(E114,'Products Master'!A:A,'Products Master'!B:B)</f>
        <v>Accessories</v>
      </c>
      <c r="J114">
        <f>_xlfn.XLOOKUP(E114,'Products Master'!A:A,'Products Master'!C:C)</f>
        <v>5000</v>
      </c>
      <c r="K114" t="str">
        <f>_xlfn.XLOOKUP(E114,'Products Master'!A:A,'Products Master'!D:D)</f>
        <v>Sony</v>
      </c>
      <c r="L114">
        <f t="shared" si="4"/>
        <v>7000</v>
      </c>
      <c r="M114">
        <f t="shared" si="5"/>
        <v>5000</v>
      </c>
      <c r="N114">
        <f t="shared" si="6"/>
        <v>2000</v>
      </c>
      <c r="O114" s="2">
        <f t="shared" si="7"/>
        <v>0.2857142857142857</v>
      </c>
    </row>
    <row r="115" spans="1:15">
      <c r="A115" t="s">
        <v>304</v>
      </c>
      <c r="B115" t="s">
        <v>305</v>
      </c>
      <c r="C115" t="s">
        <v>48</v>
      </c>
      <c r="D115" t="s">
        <v>11</v>
      </c>
      <c r="E115" t="s">
        <v>40</v>
      </c>
      <c r="F115">
        <v>2</v>
      </c>
      <c r="G115">
        <v>60000</v>
      </c>
      <c r="H115" t="s">
        <v>50</v>
      </c>
      <c r="I115" t="str">
        <f>_xlfn.XLOOKUP(E115,'Products Master'!A:A,'Products Master'!B:B)</f>
        <v>Electronics</v>
      </c>
      <c r="J115">
        <f>_xlfn.XLOOKUP(E115,'Products Master'!A:A,'Products Master'!C:C)</f>
        <v>50000</v>
      </c>
      <c r="K115" t="str">
        <f>_xlfn.XLOOKUP(E115,'Products Master'!A:A,'Products Master'!D:D)</f>
        <v>LG</v>
      </c>
      <c r="L115">
        <f t="shared" si="4"/>
        <v>120000</v>
      </c>
      <c r="M115">
        <f t="shared" si="5"/>
        <v>100000</v>
      </c>
      <c r="N115">
        <f t="shared" si="6"/>
        <v>20000</v>
      </c>
      <c r="O115" s="2">
        <f t="shared" si="7"/>
        <v>0.16666666666666666</v>
      </c>
    </row>
    <row r="116" spans="1:15">
      <c r="A116" t="s">
        <v>306</v>
      </c>
      <c r="B116" t="s">
        <v>307</v>
      </c>
      <c r="C116" t="s">
        <v>33</v>
      </c>
      <c r="D116" t="s">
        <v>23</v>
      </c>
      <c r="E116" t="s">
        <v>40</v>
      </c>
      <c r="F116">
        <v>2</v>
      </c>
      <c r="G116">
        <v>60000</v>
      </c>
      <c r="H116" t="s">
        <v>13</v>
      </c>
      <c r="I116" t="str">
        <f>_xlfn.XLOOKUP(E116,'Products Master'!A:A,'Products Master'!B:B)</f>
        <v>Electronics</v>
      </c>
      <c r="J116">
        <f>_xlfn.XLOOKUP(E116,'Products Master'!A:A,'Products Master'!C:C)</f>
        <v>50000</v>
      </c>
      <c r="K116" t="str">
        <f>_xlfn.XLOOKUP(E116,'Products Master'!A:A,'Products Master'!D:D)</f>
        <v>LG</v>
      </c>
      <c r="L116">
        <f t="shared" si="4"/>
        <v>120000</v>
      </c>
      <c r="M116">
        <f t="shared" si="5"/>
        <v>100000</v>
      </c>
      <c r="N116">
        <f t="shared" si="6"/>
        <v>20000</v>
      </c>
      <c r="O116" s="2">
        <f t="shared" si="7"/>
        <v>0.16666666666666666</v>
      </c>
    </row>
    <row r="117" spans="1:15">
      <c r="A117" t="s">
        <v>308</v>
      </c>
      <c r="B117" t="s">
        <v>309</v>
      </c>
      <c r="C117" t="s">
        <v>72</v>
      </c>
      <c r="D117" t="s">
        <v>11</v>
      </c>
      <c r="E117" t="s">
        <v>179</v>
      </c>
      <c r="F117">
        <v>3</v>
      </c>
      <c r="G117">
        <v>80000</v>
      </c>
      <c r="H117" t="s">
        <v>116</v>
      </c>
      <c r="I117" t="str">
        <f>_xlfn.XLOOKUP(E117,'Products Master'!A:A,'Products Master'!B:B)</f>
        <v>Electronics</v>
      </c>
      <c r="J117">
        <f>_xlfn.XLOOKUP(E117,'Products Master'!A:A,'Products Master'!C:C)</f>
        <v>65000</v>
      </c>
      <c r="K117" t="str">
        <f>_xlfn.XLOOKUP(E117,'Products Master'!A:A,'Products Master'!D:D)</f>
        <v>Samsung</v>
      </c>
      <c r="L117">
        <f t="shared" si="4"/>
        <v>240000</v>
      </c>
      <c r="M117">
        <f t="shared" si="5"/>
        <v>195000</v>
      </c>
      <c r="N117">
        <f t="shared" si="6"/>
        <v>45000</v>
      </c>
      <c r="O117" s="2">
        <f t="shared" si="7"/>
        <v>0.1875</v>
      </c>
    </row>
    <row r="118" spans="1:15">
      <c r="A118" t="s">
        <v>310</v>
      </c>
      <c r="B118" t="s">
        <v>311</v>
      </c>
      <c r="C118" t="s">
        <v>312</v>
      </c>
      <c r="D118" t="s">
        <v>11</v>
      </c>
      <c r="E118" t="s">
        <v>12</v>
      </c>
      <c r="F118">
        <v>1</v>
      </c>
      <c r="G118">
        <v>150000</v>
      </c>
      <c r="H118" t="s">
        <v>116</v>
      </c>
      <c r="I118" t="str">
        <f>_xlfn.XLOOKUP(E118,'Products Master'!A:A,'Products Master'!B:B)</f>
        <v>Electronics</v>
      </c>
      <c r="J118">
        <f>_xlfn.XLOOKUP(E118,'Products Master'!A:A,'Products Master'!C:C)</f>
        <v>120000</v>
      </c>
      <c r="K118" t="str">
        <f>_xlfn.XLOOKUP(E118,'Products Master'!A:A,'Products Master'!D:D)</f>
        <v>Dell</v>
      </c>
      <c r="L118">
        <f t="shared" si="4"/>
        <v>150000</v>
      </c>
      <c r="M118">
        <f t="shared" si="5"/>
        <v>120000</v>
      </c>
      <c r="N118">
        <f t="shared" si="6"/>
        <v>30000</v>
      </c>
      <c r="O118" s="2">
        <f t="shared" si="7"/>
        <v>0.2</v>
      </c>
    </row>
    <row r="119" spans="1:15">
      <c r="A119" t="s">
        <v>313</v>
      </c>
      <c r="B119" t="s">
        <v>251</v>
      </c>
      <c r="C119" t="s">
        <v>314</v>
      </c>
      <c r="D119" t="s">
        <v>29</v>
      </c>
      <c r="E119" t="s">
        <v>179</v>
      </c>
      <c r="F119">
        <v>3</v>
      </c>
      <c r="G119">
        <v>80000</v>
      </c>
      <c r="H119" t="s">
        <v>116</v>
      </c>
      <c r="I119" t="str">
        <f>_xlfn.XLOOKUP(E119,'Products Master'!A:A,'Products Master'!B:B)</f>
        <v>Electronics</v>
      </c>
      <c r="J119">
        <f>_xlfn.XLOOKUP(E119,'Products Master'!A:A,'Products Master'!C:C)</f>
        <v>65000</v>
      </c>
      <c r="K119" t="str">
        <f>_xlfn.XLOOKUP(E119,'Products Master'!A:A,'Products Master'!D:D)</f>
        <v>Samsung</v>
      </c>
      <c r="L119">
        <f t="shared" si="4"/>
        <v>240000</v>
      </c>
      <c r="M119">
        <f t="shared" si="5"/>
        <v>195000</v>
      </c>
      <c r="N119">
        <f t="shared" si="6"/>
        <v>45000</v>
      </c>
      <c r="O119" s="2">
        <f t="shared" si="7"/>
        <v>0.1875</v>
      </c>
    </row>
    <row r="120" spans="1:15">
      <c r="A120" t="s">
        <v>315</v>
      </c>
      <c r="B120" t="s">
        <v>316</v>
      </c>
      <c r="C120" t="s">
        <v>294</v>
      </c>
      <c r="D120" t="s">
        <v>34</v>
      </c>
      <c r="E120" t="s">
        <v>24</v>
      </c>
      <c r="F120">
        <v>4</v>
      </c>
      <c r="G120">
        <v>2500</v>
      </c>
      <c r="H120" t="s">
        <v>25</v>
      </c>
      <c r="I120" t="str">
        <f>_xlfn.XLOOKUP(E120,'Products Master'!A:A,'Products Master'!B:B)</f>
        <v>Accessories</v>
      </c>
      <c r="J120">
        <f>_xlfn.XLOOKUP(E120,'Products Master'!A:A,'Products Master'!C:C)</f>
        <v>1500</v>
      </c>
      <c r="K120" t="str">
        <f>_xlfn.XLOOKUP(E120,'Products Master'!A:A,'Products Master'!D:D)</f>
        <v>Logitech</v>
      </c>
      <c r="L120">
        <f t="shared" si="4"/>
        <v>10000</v>
      </c>
      <c r="M120">
        <f t="shared" si="5"/>
        <v>6000</v>
      </c>
      <c r="N120">
        <f t="shared" si="6"/>
        <v>4000</v>
      </c>
      <c r="O120" s="2">
        <f t="shared" si="7"/>
        <v>0.4</v>
      </c>
    </row>
    <row r="121" spans="1:15">
      <c r="A121" t="s">
        <v>317</v>
      </c>
      <c r="B121" t="s">
        <v>251</v>
      </c>
      <c r="C121" t="s">
        <v>318</v>
      </c>
      <c r="D121" t="s">
        <v>11</v>
      </c>
      <c r="E121" t="s">
        <v>54</v>
      </c>
      <c r="F121">
        <v>2</v>
      </c>
      <c r="G121">
        <v>7000</v>
      </c>
      <c r="H121" t="s">
        <v>66</v>
      </c>
      <c r="I121" t="str">
        <f>_xlfn.XLOOKUP(E121,'Products Master'!A:A,'Products Master'!B:B)</f>
        <v>Accessories</v>
      </c>
      <c r="J121">
        <f>_xlfn.XLOOKUP(E121,'Products Master'!A:A,'Products Master'!C:C)</f>
        <v>5000</v>
      </c>
      <c r="K121" t="str">
        <f>_xlfn.XLOOKUP(E121,'Products Master'!A:A,'Products Master'!D:D)</f>
        <v>Sony</v>
      </c>
      <c r="L121">
        <f t="shared" si="4"/>
        <v>14000</v>
      </c>
      <c r="M121">
        <f t="shared" si="5"/>
        <v>10000</v>
      </c>
      <c r="N121">
        <f t="shared" si="6"/>
        <v>4000</v>
      </c>
      <c r="O121" s="2">
        <f t="shared" si="7"/>
        <v>0.2857142857142857</v>
      </c>
    </row>
    <row r="122" spans="1:15">
      <c r="A122" t="s">
        <v>319</v>
      </c>
      <c r="B122" t="s">
        <v>320</v>
      </c>
      <c r="C122" t="s">
        <v>162</v>
      </c>
      <c r="D122" t="s">
        <v>45</v>
      </c>
      <c r="E122" t="s">
        <v>49</v>
      </c>
      <c r="F122">
        <v>5</v>
      </c>
      <c r="G122">
        <v>9500</v>
      </c>
      <c r="H122" t="s">
        <v>30</v>
      </c>
      <c r="I122" t="str">
        <f>_xlfn.XLOOKUP(E122,'Products Master'!A:A,'Products Master'!B:B)</f>
        <v>Accessories</v>
      </c>
      <c r="J122">
        <f>_xlfn.XLOOKUP(E122,'Products Master'!A:A,'Products Master'!C:C)</f>
        <v>7000</v>
      </c>
      <c r="K122" t="str">
        <f>_xlfn.XLOOKUP(E122,'Products Master'!A:A,'Products Master'!D:D)</f>
        <v>Logitech</v>
      </c>
      <c r="L122">
        <f t="shared" si="4"/>
        <v>47500</v>
      </c>
      <c r="M122">
        <f t="shared" si="5"/>
        <v>35000</v>
      </c>
      <c r="N122">
        <f t="shared" si="6"/>
        <v>12500</v>
      </c>
      <c r="O122" s="2">
        <f t="shared" si="7"/>
        <v>0.26315789473684209</v>
      </c>
    </row>
    <row r="123" spans="1:15">
      <c r="A123" t="s">
        <v>321</v>
      </c>
      <c r="B123" t="s">
        <v>322</v>
      </c>
      <c r="C123" t="s">
        <v>94</v>
      </c>
      <c r="D123" t="s">
        <v>115</v>
      </c>
      <c r="E123" t="s">
        <v>12</v>
      </c>
      <c r="F123">
        <v>4</v>
      </c>
      <c r="G123">
        <v>150000</v>
      </c>
      <c r="H123" t="s">
        <v>36</v>
      </c>
      <c r="I123" t="str">
        <f>_xlfn.XLOOKUP(E123,'Products Master'!A:A,'Products Master'!B:B)</f>
        <v>Electronics</v>
      </c>
      <c r="J123">
        <f>_xlfn.XLOOKUP(E123,'Products Master'!A:A,'Products Master'!C:C)</f>
        <v>120000</v>
      </c>
      <c r="K123" t="str">
        <f>_xlfn.XLOOKUP(E123,'Products Master'!A:A,'Products Master'!D:D)</f>
        <v>Dell</v>
      </c>
      <c r="L123">
        <f t="shared" si="4"/>
        <v>600000</v>
      </c>
      <c r="M123">
        <f t="shared" si="5"/>
        <v>480000</v>
      </c>
      <c r="N123">
        <f t="shared" si="6"/>
        <v>120000</v>
      </c>
      <c r="O123" s="2">
        <f t="shared" si="7"/>
        <v>0.2</v>
      </c>
    </row>
    <row r="124" spans="1:15">
      <c r="A124" t="s">
        <v>323</v>
      </c>
      <c r="B124" t="s">
        <v>324</v>
      </c>
      <c r="C124" t="s">
        <v>318</v>
      </c>
      <c r="D124" t="s">
        <v>11</v>
      </c>
      <c r="E124" t="s">
        <v>12</v>
      </c>
      <c r="F124">
        <v>5</v>
      </c>
      <c r="G124">
        <v>150000</v>
      </c>
      <c r="H124" t="s">
        <v>36</v>
      </c>
      <c r="I124" t="str">
        <f>_xlfn.XLOOKUP(E124,'Products Master'!A:A,'Products Master'!B:B)</f>
        <v>Electronics</v>
      </c>
      <c r="J124">
        <f>_xlfn.XLOOKUP(E124,'Products Master'!A:A,'Products Master'!C:C)</f>
        <v>120000</v>
      </c>
      <c r="K124" t="str">
        <f>_xlfn.XLOOKUP(E124,'Products Master'!A:A,'Products Master'!D:D)</f>
        <v>Dell</v>
      </c>
      <c r="L124">
        <f t="shared" si="4"/>
        <v>750000</v>
      </c>
      <c r="M124">
        <f t="shared" si="5"/>
        <v>600000</v>
      </c>
      <c r="N124">
        <f t="shared" si="6"/>
        <v>150000</v>
      </c>
      <c r="O124" s="2">
        <f t="shared" si="7"/>
        <v>0.2</v>
      </c>
    </row>
    <row r="125" spans="1:15">
      <c r="A125" t="s">
        <v>325</v>
      </c>
      <c r="B125" t="s">
        <v>326</v>
      </c>
      <c r="C125" t="s">
        <v>327</v>
      </c>
      <c r="D125" t="s">
        <v>23</v>
      </c>
      <c r="E125" t="s">
        <v>40</v>
      </c>
      <c r="F125">
        <v>3</v>
      </c>
      <c r="G125">
        <v>60000</v>
      </c>
      <c r="H125" t="s">
        <v>50</v>
      </c>
      <c r="I125" t="str">
        <f>_xlfn.XLOOKUP(E125,'Products Master'!A:A,'Products Master'!B:B)</f>
        <v>Electronics</v>
      </c>
      <c r="J125">
        <f>_xlfn.XLOOKUP(E125,'Products Master'!A:A,'Products Master'!C:C)</f>
        <v>50000</v>
      </c>
      <c r="K125" t="str">
        <f>_xlfn.XLOOKUP(E125,'Products Master'!A:A,'Products Master'!D:D)</f>
        <v>LG</v>
      </c>
      <c r="L125">
        <f t="shared" si="4"/>
        <v>180000</v>
      </c>
      <c r="M125">
        <f t="shared" si="5"/>
        <v>150000</v>
      </c>
      <c r="N125">
        <f t="shared" si="6"/>
        <v>30000</v>
      </c>
      <c r="O125" s="2">
        <f t="shared" si="7"/>
        <v>0.16666666666666666</v>
      </c>
    </row>
    <row r="126" spans="1:15">
      <c r="A126" t="s">
        <v>328</v>
      </c>
      <c r="B126" t="s">
        <v>329</v>
      </c>
      <c r="C126" t="s">
        <v>330</v>
      </c>
      <c r="D126" t="s">
        <v>17</v>
      </c>
      <c r="E126" t="s">
        <v>35</v>
      </c>
      <c r="F126">
        <v>5</v>
      </c>
      <c r="G126">
        <v>2000</v>
      </c>
      <c r="H126" t="s">
        <v>50</v>
      </c>
      <c r="I126" t="str">
        <f>_xlfn.XLOOKUP(E126,'Products Master'!A:A,'Products Master'!B:B)</f>
        <v>Storage</v>
      </c>
      <c r="J126">
        <f>_xlfn.XLOOKUP(E126,'Products Master'!A:A,'Products Master'!C:C)</f>
        <v>1200</v>
      </c>
      <c r="K126" t="str">
        <f>_xlfn.XLOOKUP(E126,'Products Master'!A:A,'Products Master'!D:D)</f>
        <v>SanDisk</v>
      </c>
      <c r="L126">
        <f t="shared" si="4"/>
        <v>10000</v>
      </c>
      <c r="M126">
        <f t="shared" si="5"/>
        <v>6000</v>
      </c>
      <c r="N126">
        <f t="shared" si="6"/>
        <v>4000</v>
      </c>
      <c r="O126" s="2">
        <f t="shared" si="7"/>
        <v>0.4</v>
      </c>
    </row>
    <row r="127" spans="1:15">
      <c r="A127" t="s">
        <v>331</v>
      </c>
      <c r="B127" t="s">
        <v>332</v>
      </c>
      <c r="C127" t="s">
        <v>140</v>
      </c>
      <c r="D127" t="s">
        <v>11</v>
      </c>
      <c r="E127" t="s">
        <v>40</v>
      </c>
      <c r="F127">
        <v>2</v>
      </c>
      <c r="G127">
        <v>60000</v>
      </c>
      <c r="H127" t="s">
        <v>13</v>
      </c>
      <c r="I127" t="str">
        <f>_xlfn.XLOOKUP(E127,'Products Master'!A:A,'Products Master'!B:B)</f>
        <v>Electronics</v>
      </c>
      <c r="J127">
        <f>_xlfn.XLOOKUP(E127,'Products Master'!A:A,'Products Master'!C:C)</f>
        <v>50000</v>
      </c>
      <c r="K127" t="str">
        <f>_xlfn.XLOOKUP(E127,'Products Master'!A:A,'Products Master'!D:D)</f>
        <v>LG</v>
      </c>
      <c r="L127">
        <f t="shared" si="4"/>
        <v>120000</v>
      </c>
      <c r="M127">
        <f t="shared" si="5"/>
        <v>100000</v>
      </c>
      <c r="N127">
        <f t="shared" si="6"/>
        <v>20000</v>
      </c>
      <c r="O127" s="2">
        <f t="shared" si="7"/>
        <v>0.16666666666666666</v>
      </c>
    </row>
    <row r="128" spans="1:15">
      <c r="A128" t="s">
        <v>333</v>
      </c>
      <c r="B128" t="s">
        <v>334</v>
      </c>
      <c r="C128" t="s">
        <v>233</v>
      </c>
      <c r="D128" t="s">
        <v>17</v>
      </c>
      <c r="E128" t="s">
        <v>35</v>
      </c>
      <c r="F128">
        <v>1</v>
      </c>
      <c r="G128">
        <v>2000</v>
      </c>
      <c r="H128" t="s">
        <v>66</v>
      </c>
      <c r="I128" t="str">
        <f>_xlfn.XLOOKUP(E128,'Products Master'!A:A,'Products Master'!B:B)</f>
        <v>Storage</v>
      </c>
      <c r="J128">
        <f>_xlfn.XLOOKUP(E128,'Products Master'!A:A,'Products Master'!C:C)</f>
        <v>1200</v>
      </c>
      <c r="K128" t="str">
        <f>_xlfn.XLOOKUP(E128,'Products Master'!A:A,'Products Master'!D:D)</f>
        <v>SanDisk</v>
      </c>
      <c r="L128">
        <f t="shared" si="4"/>
        <v>2000</v>
      </c>
      <c r="M128">
        <f t="shared" si="5"/>
        <v>1200</v>
      </c>
      <c r="N128">
        <f t="shared" si="6"/>
        <v>800</v>
      </c>
      <c r="O128" s="2">
        <f t="shared" si="7"/>
        <v>0.4</v>
      </c>
    </row>
    <row r="129" spans="1:15">
      <c r="A129" t="s">
        <v>335</v>
      </c>
      <c r="B129" t="s">
        <v>336</v>
      </c>
      <c r="C129" t="s">
        <v>337</v>
      </c>
      <c r="D129" t="s">
        <v>34</v>
      </c>
      <c r="E129" t="s">
        <v>18</v>
      </c>
      <c r="F129">
        <v>1</v>
      </c>
      <c r="G129">
        <v>45000</v>
      </c>
      <c r="H129" t="s">
        <v>66</v>
      </c>
      <c r="I129" t="str">
        <f>_xlfn.XLOOKUP(E129,'Products Master'!A:A,'Products Master'!B:B)</f>
        <v>Electronics</v>
      </c>
      <c r="J129">
        <f>_xlfn.XLOOKUP(E129,'Products Master'!A:A,'Products Master'!C:C)</f>
        <v>35000</v>
      </c>
      <c r="K129" t="str">
        <f>_xlfn.XLOOKUP(E129,'Products Master'!A:A,'Products Master'!D:D)</f>
        <v>HP</v>
      </c>
      <c r="L129">
        <f t="shared" si="4"/>
        <v>45000</v>
      </c>
      <c r="M129">
        <f t="shared" si="5"/>
        <v>35000</v>
      </c>
      <c r="N129">
        <f t="shared" si="6"/>
        <v>10000</v>
      </c>
      <c r="O129" s="2">
        <f t="shared" si="7"/>
        <v>0.22222222222222221</v>
      </c>
    </row>
    <row r="130" spans="1:15">
      <c r="A130" t="s">
        <v>338</v>
      </c>
      <c r="B130" t="s">
        <v>339</v>
      </c>
      <c r="C130" t="s">
        <v>134</v>
      </c>
      <c r="D130" t="s">
        <v>45</v>
      </c>
      <c r="E130" t="s">
        <v>99</v>
      </c>
      <c r="F130">
        <v>3</v>
      </c>
      <c r="G130">
        <v>5000</v>
      </c>
      <c r="H130" t="s">
        <v>30</v>
      </c>
      <c r="I130" t="str">
        <f>_xlfn.XLOOKUP(E130,'Products Master'!A:A,'Products Master'!B:B)</f>
        <v>Accessories</v>
      </c>
      <c r="J130">
        <f>_xlfn.XLOOKUP(E130,'Products Master'!A:A,'Products Master'!C:C)</f>
        <v>3500</v>
      </c>
      <c r="K130" t="str">
        <f>_xlfn.XLOOKUP(E130,'Products Master'!A:A,'Products Master'!D:D)</f>
        <v>Logitech</v>
      </c>
      <c r="L130">
        <f t="shared" si="4"/>
        <v>15000</v>
      </c>
      <c r="M130">
        <f t="shared" si="5"/>
        <v>10500</v>
      </c>
      <c r="N130">
        <f t="shared" si="6"/>
        <v>4500</v>
      </c>
      <c r="O130" s="2">
        <f t="shared" si="7"/>
        <v>0.3</v>
      </c>
    </row>
    <row r="131" spans="1:15">
      <c r="A131" t="s">
        <v>340</v>
      </c>
      <c r="B131" t="s">
        <v>155</v>
      </c>
      <c r="C131" t="s">
        <v>341</v>
      </c>
      <c r="D131" t="s">
        <v>23</v>
      </c>
      <c r="E131" t="s">
        <v>12</v>
      </c>
      <c r="F131">
        <v>1</v>
      </c>
      <c r="G131">
        <v>150000</v>
      </c>
      <c r="H131" t="s">
        <v>66</v>
      </c>
      <c r="I131" t="str">
        <f>_xlfn.XLOOKUP(E131,'Products Master'!A:A,'Products Master'!B:B)</f>
        <v>Electronics</v>
      </c>
      <c r="J131">
        <f>_xlfn.XLOOKUP(E131,'Products Master'!A:A,'Products Master'!C:C)</f>
        <v>120000</v>
      </c>
      <c r="K131" t="str">
        <f>_xlfn.XLOOKUP(E131,'Products Master'!A:A,'Products Master'!D:D)</f>
        <v>Dell</v>
      </c>
      <c r="L131">
        <f t="shared" ref="L131:L194" si="8">F131*G131</f>
        <v>150000</v>
      </c>
      <c r="M131">
        <f t="shared" ref="M131:M194" si="9">F131*J131</f>
        <v>120000</v>
      </c>
      <c r="N131">
        <f t="shared" ref="N131:N194" si="10">L131-M131</f>
        <v>30000</v>
      </c>
      <c r="O131" s="2">
        <f t="shared" ref="O131:O194" si="11">N131/L131</f>
        <v>0.2</v>
      </c>
    </row>
    <row r="132" spans="1:15">
      <c r="A132" t="s">
        <v>342</v>
      </c>
      <c r="B132" t="s">
        <v>343</v>
      </c>
      <c r="C132" t="s">
        <v>233</v>
      </c>
      <c r="D132" t="s">
        <v>45</v>
      </c>
      <c r="E132" t="s">
        <v>124</v>
      </c>
      <c r="F132">
        <v>5</v>
      </c>
      <c r="G132">
        <v>18000</v>
      </c>
      <c r="H132" t="s">
        <v>66</v>
      </c>
      <c r="I132" t="str">
        <f>_xlfn.XLOOKUP(E132,'Products Master'!A:A,'Products Master'!B:B)</f>
        <v>Storage</v>
      </c>
      <c r="J132">
        <f>_xlfn.XLOOKUP(E132,'Products Master'!A:A,'Products Master'!C:C)</f>
        <v>12000</v>
      </c>
      <c r="K132" t="str">
        <f>_xlfn.XLOOKUP(E132,'Products Master'!A:A,'Products Master'!D:D)</f>
        <v>Kingston</v>
      </c>
      <c r="L132">
        <f t="shared" si="8"/>
        <v>90000</v>
      </c>
      <c r="M132">
        <f t="shared" si="9"/>
        <v>60000</v>
      </c>
      <c r="N132">
        <f t="shared" si="10"/>
        <v>30000</v>
      </c>
      <c r="O132" s="2">
        <f t="shared" si="11"/>
        <v>0.33333333333333331</v>
      </c>
    </row>
    <row r="133" spans="1:15">
      <c r="A133" t="s">
        <v>344</v>
      </c>
      <c r="B133" t="s">
        <v>345</v>
      </c>
      <c r="C133" t="s">
        <v>346</v>
      </c>
      <c r="D133" t="s">
        <v>45</v>
      </c>
      <c r="E133" t="s">
        <v>18</v>
      </c>
      <c r="F133">
        <v>5</v>
      </c>
      <c r="G133">
        <v>45000</v>
      </c>
      <c r="H133" t="s">
        <v>66</v>
      </c>
      <c r="I133" t="str">
        <f>_xlfn.XLOOKUP(E133,'Products Master'!A:A,'Products Master'!B:B)</f>
        <v>Electronics</v>
      </c>
      <c r="J133">
        <f>_xlfn.XLOOKUP(E133,'Products Master'!A:A,'Products Master'!C:C)</f>
        <v>35000</v>
      </c>
      <c r="K133" t="str">
        <f>_xlfn.XLOOKUP(E133,'Products Master'!A:A,'Products Master'!D:D)</f>
        <v>HP</v>
      </c>
      <c r="L133">
        <f t="shared" si="8"/>
        <v>225000</v>
      </c>
      <c r="M133">
        <f t="shared" si="9"/>
        <v>175000</v>
      </c>
      <c r="N133">
        <f t="shared" si="10"/>
        <v>50000</v>
      </c>
      <c r="O133" s="2">
        <f t="shared" si="11"/>
        <v>0.22222222222222221</v>
      </c>
    </row>
    <row r="134" spans="1:15">
      <c r="A134" t="s">
        <v>347</v>
      </c>
      <c r="B134" t="s">
        <v>348</v>
      </c>
      <c r="C134" t="s">
        <v>156</v>
      </c>
      <c r="D134" t="s">
        <v>111</v>
      </c>
      <c r="E134" t="s">
        <v>49</v>
      </c>
      <c r="F134">
        <v>5</v>
      </c>
      <c r="G134">
        <v>9500</v>
      </c>
      <c r="H134" t="s">
        <v>30</v>
      </c>
      <c r="I134" t="str">
        <f>_xlfn.XLOOKUP(E134,'Products Master'!A:A,'Products Master'!B:B)</f>
        <v>Accessories</v>
      </c>
      <c r="J134">
        <f>_xlfn.XLOOKUP(E134,'Products Master'!A:A,'Products Master'!C:C)</f>
        <v>7000</v>
      </c>
      <c r="K134" t="str">
        <f>_xlfn.XLOOKUP(E134,'Products Master'!A:A,'Products Master'!D:D)</f>
        <v>Logitech</v>
      </c>
      <c r="L134">
        <f t="shared" si="8"/>
        <v>47500</v>
      </c>
      <c r="M134">
        <f t="shared" si="9"/>
        <v>35000</v>
      </c>
      <c r="N134">
        <f t="shared" si="10"/>
        <v>12500</v>
      </c>
      <c r="O134" s="2">
        <f t="shared" si="11"/>
        <v>0.26315789473684209</v>
      </c>
    </row>
    <row r="135" spans="1:15">
      <c r="A135" t="s">
        <v>349</v>
      </c>
      <c r="B135" t="s">
        <v>350</v>
      </c>
      <c r="C135" t="s">
        <v>57</v>
      </c>
      <c r="D135" t="s">
        <v>115</v>
      </c>
      <c r="E135" t="s">
        <v>12</v>
      </c>
      <c r="F135">
        <v>5</v>
      </c>
      <c r="G135">
        <v>150000</v>
      </c>
      <c r="H135" t="s">
        <v>19</v>
      </c>
      <c r="I135" t="str">
        <f>_xlfn.XLOOKUP(E135,'Products Master'!A:A,'Products Master'!B:B)</f>
        <v>Electronics</v>
      </c>
      <c r="J135">
        <f>_xlfn.XLOOKUP(E135,'Products Master'!A:A,'Products Master'!C:C)</f>
        <v>120000</v>
      </c>
      <c r="K135" t="str">
        <f>_xlfn.XLOOKUP(E135,'Products Master'!A:A,'Products Master'!D:D)</f>
        <v>Dell</v>
      </c>
      <c r="L135">
        <f t="shared" si="8"/>
        <v>750000</v>
      </c>
      <c r="M135">
        <f t="shared" si="9"/>
        <v>600000</v>
      </c>
      <c r="N135">
        <f t="shared" si="10"/>
        <v>150000</v>
      </c>
      <c r="O135" s="2">
        <f t="shared" si="11"/>
        <v>0.2</v>
      </c>
    </row>
    <row r="136" spans="1:15">
      <c r="A136" t="s">
        <v>351</v>
      </c>
      <c r="B136" t="s">
        <v>352</v>
      </c>
      <c r="C136" t="s">
        <v>353</v>
      </c>
      <c r="D136" t="s">
        <v>34</v>
      </c>
      <c r="E136" t="s">
        <v>24</v>
      </c>
      <c r="F136">
        <v>3</v>
      </c>
      <c r="G136">
        <v>2500</v>
      </c>
      <c r="H136" t="s">
        <v>13</v>
      </c>
      <c r="I136" t="str">
        <f>_xlfn.XLOOKUP(E136,'Products Master'!A:A,'Products Master'!B:B)</f>
        <v>Accessories</v>
      </c>
      <c r="J136">
        <f>_xlfn.XLOOKUP(E136,'Products Master'!A:A,'Products Master'!C:C)</f>
        <v>1500</v>
      </c>
      <c r="K136" t="str">
        <f>_xlfn.XLOOKUP(E136,'Products Master'!A:A,'Products Master'!D:D)</f>
        <v>Logitech</v>
      </c>
      <c r="L136">
        <f t="shared" si="8"/>
        <v>7500</v>
      </c>
      <c r="M136">
        <f t="shared" si="9"/>
        <v>4500</v>
      </c>
      <c r="N136">
        <f t="shared" si="10"/>
        <v>3000</v>
      </c>
      <c r="O136" s="2">
        <f t="shared" si="11"/>
        <v>0.4</v>
      </c>
    </row>
    <row r="137" spans="1:15">
      <c r="A137" t="s">
        <v>354</v>
      </c>
      <c r="B137" t="s">
        <v>355</v>
      </c>
      <c r="C137" t="s">
        <v>337</v>
      </c>
      <c r="D137" t="s">
        <v>29</v>
      </c>
      <c r="E137" t="s">
        <v>99</v>
      </c>
      <c r="F137">
        <v>3</v>
      </c>
      <c r="G137">
        <v>5000</v>
      </c>
      <c r="H137" t="s">
        <v>25</v>
      </c>
      <c r="I137" t="str">
        <f>_xlfn.XLOOKUP(E137,'Products Master'!A:A,'Products Master'!B:B)</f>
        <v>Accessories</v>
      </c>
      <c r="J137">
        <f>_xlfn.XLOOKUP(E137,'Products Master'!A:A,'Products Master'!C:C)</f>
        <v>3500</v>
      </c>
      <c r="K137" t="str">
        <f>_xlfn.XLOOKUP(E137,'Products Master'!A:A,'Products Master'!D:D)</f>
        <v>Logitech</v>
      </c>
      <c r="L137">
        <f t="shared" si="8"/>
        <v>15000</v>
      </c>
      <c r="M137">
        <f t="shared" si="9"/>
        <v>10500</v>
      </c>
      <c r="N137">
        <f t="shared" si="10"/>
        <v>4500</v>
      </c>
      <c r="O137" s="2">
        <f t="shared" si="11"/>
        <v>0.3</v>
      </c>
    </row>
    <row r="138" spans="1:15">
      <c r="A138" t="s">
        <v>356</v>
      </c>
      <c r="B138" t="s">
        <v>97</v>
      </c>
      <c r="C138" t="s">
        <v>341</v>
      </c>
      <c r="D138" t="s">
        <v>45</v>
      </c>
      <c r="E138" t="s">
        <v>18</v>
      </c>
      <c r="F138">
        <v>3</v>
      </c>
      <c r="G138">
        <v>45000</v>
      </c>
      <c r="H138" t="s">
        <v>41</v>
      </c>
      <c r="I138" t="str">
        <f>_xlfn.XLOOKUP(E138,'Products Master'!A:A,'Products Master'!B:B)</f>
        <v>Electronics</v>
      </c>
      <c r="J138">
        <f>_xlfn.XLOOKUP(E138,'Products Master'!A:A,'Products Master'!C:C)</f>
        <v>35000</v>
      </c>
      <c r="K138" t="str">
        <f>_xlfn.XLOOKUP(E138,'Products Master'!A:A,'Products Master'!D:D)</f>
        <v>HP</v>
      </c>
      <c r="L138">
        <f t="shared" si="8"/>
        <v>135000</v>
      </c>
      <c r="M138">
        <f t="shared" si="9"/>
        <v>105000</v>
      </c>
      <c r="N138">
        <f t="shared" si="10"/>
        <v>30000</v>
      </c>
      <c r="O138" s="2">
        <f t="shared" si="11"/>
        <v>0.22222222222222221</v>
      </c>
    </row>
    <row r="139" spans="1:15">
      <c r="A139" t="s">
        <v>357</v>
      </c>
      <c r="B139" t="s">
        <v>358</v>
      </c>
      <c r="C139" t="s">
        <v>80</v>
      </c>
      <c r="D139" t="s">
        <v>11</v>
      </c>
      <c r="E139" t="s">
        <v>179</v>
      </c>
      <c r="F139">
        <v>4</v>
      </c>
      <c r="G139">
        <v>80000</v>
      </c>
      <c r="H139" t="s">
        <v>36</v>
      </c>
      <c r="I139" t="str">
        <f>_xlfn.XLOOKUP(E139,'Products Master'!A:A,'Products Master'!B:B)</f>
        <v>Electronics</v>
      </c>
      <c r="J139">
        <f>_xlfn.XLOOKUP(E139,'Products Master'!A:A,'Products Master'!C:C)</f>
        <v>65000</v>
      </c>
      <c r="K139" t="str">
        <f>_xlfn.XLOOKUP(E139,'Products Master'!A:A,'Products Master'!D:D)</f>
        <v>Samsung</v>
      </c>
      <c r="L139">
        <f t="shared" si="8"/>
        <v>320000</v>
      </c>
      <c r="M139">
        <f t="shared" si="9"/>
        <v>260000</v>
      </c>
      <c r="N139">
        <f t="shared" si="10"/>
        <v>60000</v>
      </c>
      <c r="O139" s="2">
        <f t="shared" si="11"/>
        <v>0.1875</v>
      </c>
    </row>
    <row r="140" spans="1:15">
      <c r="A140" t="s">
        <v>359</v>
      </c>
      <c r="B140" t="s">
        <v>360</v>
      </c>
      <c r="C140" t="s">
        <v>294</v>
      </c>
      <c r="D140" t="s">
        <v>34</v>
      </c>
      <c r="E140" t="s">
        <v>99</v>
      </c>
      <c r="F140">
        <v>2</v>
      </c>
      <c r="G140">
        <v>5000</v>
      </c>
      <c r="H140" t="s">
        <v>36</v>
      </c>
      <c r="I140" t="str">
        <f>_xlfn.XLOOKUP(E140,'Products Master'!A:A,'Products Master'!B:B)</f>
        <v>Accessories</v>
      </c>
      <c r="J140">
        <f>_xlfn.XLOOKUP(E140,'Products Master'!A:A,'Products Master'!C:C)</f>
        <v>3500</v>
      </c>
      <c r="K140" t="str">
        <f>_xlfn.XLOOKUP(E140,'Products Master'!A:A,'Products Master'!D:D)</f>
        <v>Logitech</v>
      </c>
      <c r="L140">
        <f t="shared" si="8"/>
        <v>10000</v>
      </c>
      <c r="M140">
        <f t="shared" si="9"/>
        <v>7000</v>
      </c>
      <c r="N140">
        <f t="shared" si="10"/>
        <v>3000</v>
      </c>
      <c r="O140" s="2">
        <f t="shared" si="11"/>
        <v>0.3</v>
      </c>
    </row>
    <row r="141" spans="1:15">
      <c r="A141" t="s">
        <v>361</v>
      </c>
      <c r="B141" t="s">
        <v>27</v>
      </c>
      <c r="C141" t="s">
        <v>186</v>
      </c>
      <c r="D141" t="s">
        <v>34</v>
      </c>
      <c r="E141" t="s">
        <v>99</v>
      </c>
      <c r="F141">
        <v>2</v>
      </c>
      <c r="G141">
        <v>5000</v>
      </c>
      <c r="H141" t="s">
        <v>36</v>
      </c>
      <c r="I141" t="str">
        <f>_xlfn.XLOOKUP(E141,'Products Master'!A:A,'Products Master'!B:B)</f>
        <v>Accessories</v>
      </c>
      <c r="J141">
        <f>_xlfn.XLOOKUP(E141,'Products Master'!A:A,'Products Master'!C:C)</f>
        <v>3500</v>
      </c>
      <c r="K141" t="str">
        <f>_xlfn.XLOOKUP(E141,'Products Master'!A:A,'Products Master'!D:D)</f>
        <v>Logitech</v>
      </c>
      <c r="L141">
        <f t="shared" si="8"/>
        <v>10000</v>
      </c>
      <c r="M141">
        <f t="shared" si="9"/>
        <v>7000</v>
      </c>
      <c r="N141">
        <f t="shared" si="10"/>
        <v>3000</v>
      </c>
      <c r="O141" s="2">
        <f t="shared" si="11"/>
        <v>0.3</v>
      </c>
    </row>
    <row r="142" spans="1:15">
      <c r="A142" t="s">
        <v>362</v>
      </c>
      <c r="B142" t="s">
        <v>90</v>
      </c>
      <c r="C142" t="s">
        <v>201</v>
      </c>
      <c r="D142" t="s">
        <v>115</v>
      </c>
      <c r="E142" t="s">
        <v>18</v>
      </c>
      <c r="F142">
        <v>4</v>
      </c>
      <c r="G142">
        <v>45000</v>
      </c>
      <c r="H142" t="s">
        <v>66</v>
      </c>
      <c r="I142" t="str">
        <f>_xlfn.XLOOKUP(E142,'Products Master'!A:A,'Products Master'!B:B)</f>
        <v>Electronics</v>
      </c>
      <c r="J142">
        <f>_xlfn.XLOOKUP(E142,'Products Master'!A:A,'Products Master'!C:C)</f>
        <v>35000</v>
      </c>
      <c r="K142" t="str">
        <f>_xlfn.XLOOKUP(E142,'Products Master'!A:A,'Products Master'!D:D)</f>
        <v>HP</v>
      </c>
      <c r="L142">
        <f t="shared" si="8"/>
        <v>180000</v>
      </c>
      <c r="M142">
        <f t="shared" si="9"/>
        <v>140000</v>
      </c>
      <c r="N142">
        <f t="shared" si="10"/>
        <v>40000</v>
      </c>
      <c r="O142" s="2">
        <f t="shared" si="11"/>
        <v>0.22222222222222221</v>
      </c>
    </row>
    <row r="143" spans="1:15">
      <c r="A143" t="s">
        <v>363</v>
      </c>
      <c r="B143" t="s">
        <v>364</v>
      </c>
      <c r="C143" t="s">
        <v>167</v>
      </c>
      <c r="D143" t="s">
        <v>29</v>
      </c>
      <c r="E143" t="s">
        <v>54</v>
      </c>
      <c r="F143">
        <v>3</v>
      </c>
      <c r="G143">
        <v>7000</v>
      </c>
      <c r="H143" t="s">
        <v>13</v>
      </c>
      <c r="I143" t="str">
        <f>_xlfn.XLOOKUP(E143,'Products Master'!A:A,'Products Master'!B:B)</f>
        <v>Accessories</v>
      </c>
      <c r="J143">
        <f>_xlfn.XLOOKUP(E143,'Products Master'!A:A,'Products Master'!C:C)</f>
        <v>5000</v>
      </c>
      <c r="K143" t="str">
        <f>_xlfn.XLOOKUP(E143,'Products Master'!A:A,'Products Master'!D:D)</f>
        <v>Sony</v>
      </c>
      <c r="L143">
        <f t="shared" si="8"/>
        <v>21000</v>
      </c>
      <c r="M143">
        <f t="shared" si="9"/>
        <v>15000</v>
      </c>
      <c r="N143">
        <f t="shared" si="10"/>
        <v>6000</v>
      </c>
      <c r="O143" s="2">
        <f t="shared" si="11"/>
        <v>0.2857142857142857</v>
      </c>
    </row>
    <row r="144" spans="1:15">
      <c r="A144" t="s">
        <v>365</v>
      </c>
      <c r="B144" t="s">
        <v>366</v>
      </c>
      <c r="C144" t="s">
        <v>91</v>
      </c>
      <c r="D144" t="s">
        <v>45</v>
      </c>
      <c r="E144" t="s">
        <v>35</v>
      </c>
      <c r="F144">
        <v>2</v>
      </c>
      <c r="G144">
        <v>2000</v>
      </c>
      <c r="H144" t="s">
        <v>13</v>
      </c>
      <c r="I144" t="str">
        <f>_xlfn.XLOOKUP(E144,'Products Master'!A:A,'Products Master'!B:B)</f>
        <v>Storage</v>
      </c>
      <c r="J144">
        <f>_xlfn.XLOOKUP(E144,'Products Master'!A:A,'Products Master'!C:C)</f>
        <v>1200</v>
      </c>
      <c r="K144" t="str">
        <f>_xlfn.XLOOKUP(E144,'Products Master'!A:A,'Products Master'!D:D)</f>
        <v>SanDisk</v>
      </c>
      <c r="L144">
        <f t="shared" si="8"/>
        <v>4000</v>
      </c>
      <c r="M144">
        <f t="shared" si="9"/>
        <v>2400</v>
      </c>
      <c r="N144">
        <f t="shared" si="10"/>
        <v>1600</v>
      </c>
      <c r="O144" s="2">
        <f t="shared" si="11"/>
        <v>0.4</v>
      </c>
    </row>
    <row r="145" spans="1:15">
      <c r="A145" t="s">
        <v>367</v>
      </c>
      <c r="B145" t="s">
        <v>126</v>
      </c>
      <c r="C145" t="s">
        <v>74</v>
      </c>
      <c r="D145" t="s">
        <v>23</v>
      </c>
      <c r="E145" t="s">
        <v>99</v>
      </c>
      <c r="F145">
        <v>1</v>
      </c>
      <c r="G145">
        <v>5000</v>
      </c>
      <c r="H145" t="s">
        <v>116</v>
      </c>
      <c r="I145" t="str">
        <f>_xlfn.XLOOKUP(E145,'Products Master'!A:A,'Products Master'!B:B)</f>
        <v>Accessories</v>
      </c>
      <c r="J145">
        <f>_xlfn.XLOOKUP(E145,'Products Master'!A:A,'Products Master'!C:C)</f>
        <v>3500</v>
      </c>
      <c r="K145" t="str">
        <f>_xlfn.XLOOKUP(E145,'Products Master'!A:A,'Products Master'!D:D)</f>
        <v>Logitech</v>
      </c>
      <c r="L145">
        <f t="shared" si="8"/>
        <v>5000</v>
      </c>
      <c r="M145">
        <f t="shared" si="9"/>
        <v>3500</v>
      </c>
      <c r="N145">
        <f t="shared" si="10"/>
        <v>1500</v>
      </c>
      <c r="O145" s="2">
        <f t="shared" si="11"/>
        <v>0.3</v>
      </c>
    </row>
    <row r="146" spans="1:15">
      <c r="A146" t="s">
        <v>368</v>
      </c>
      <c r="B146" t="s">
        <v>369</v>
      </c>
      <c r="C146" t="s">
        <v>370</v>
      </c>
      <c r="D146" t="s">
        <v>17</v>
      </c>
      <c r="E146" t="s">
        <v>24</v>
      </c>
      <c r="F146">
        <v>1</v>
      </c>
      <c r="G146">
        <v>2500</v>
      </c>
      <c r="H146" t="s">
        <v>116</v>
      </c>
      <c r="I146" t="str">
        <f>_xlfn.XLOOKUP(E146,'Products Master'!A:A,'Products Master'!B:B)</f>
        <v>Accessories</v>
      </c>
      <c r="J146">
        <f>_xlfn.XLOOKUP(E146,'Products Master'!A:A,'Products Master'!C:C)</f>
        <v>1500</v>
      </c>
      <c r="K146" t="str">
        <f>_xlfn.XLOOKUP(E146,'Products Master'!A:A,'Products Master'!D:D)</f>
        <v>Logitech</v>
      </c>
      <c r="L146">
        <f t="shared" si="8"/>
        <v>2500</v>
      </c>
      <c r="M146">
        <f t="shared" si="9"/>
        <v>1500</v>
      </c>
      <c r="N146">
        <f t="shared" si="10"/>
        <v>1000</v>
      </c>
      <c r="O146" s="2">
        <f t="shared" si="11"/>
        <v>0.4</v>
      </c>
    </row>
    <row r="147" spans="1:15">
      <c r="A147" t="s">
        <v>371</v>
      </c>
      <c r="B147" t="s">
        <v>372</v>
      </c>
      <c r="C147" t="s">
        <v>176</v>
      </c>
      <c r="D147" t="s">
        <v>23</v>
      </c>
      <c r="E147" t="s">
        <v>54</v>
      </c>
      <c r="F147">
        <v>2</v>
      </c>
      <c r="G147">
        <v>7000</v>
      </c>
      <c r="H147" t="s">
        <v>30</v>
      </c>
      <c r="I147" t="str">
        <f>_xlfn.XLOOKUP(E147,'Products Master'!A:A,'Products Master'!B:B)</f>
        <v>Accessories</v>
      </c>
      <c r="J147">
        <f>_xlfn.XLOOKUP(E147,'Products Master'!A:A,'Products Master'!C:C)</f>
        <v>5000</v>
      </c>
      <c r="K147" t="str">
        <f>_xlfn.XLOOKUP(E147,'Products Master'!A:A,'Products Master'!D:D)</f>
        <v>Sony</v>
      </c>
      <c r="L147">
        <f t="shared" si="8"/>
        <v>14000</v>
      </c>
      <c r="M147">
        <f t="shared" si="9"/>
        <v>10000</v>
      </c>
      <c r="N147">
        <f t="shared" si="10"/>
        <v>4000</v>
      </c>
      <c r="O147" s="2">
        <f t="shared" si="11"/>
        <v>0.2857142857142857</v>
      </c>
    </row>
    <row r="148" spans="1:15">
      <c r="A148" t="s">
        <v>373</v>
      </c>
      <c r="B148" t="s">
        <v>374</v>
      </c>
      <c r="C148" t="s">
        <v>375</v>
      </c>
      <c r="D148" t="s">
        <v>115</v>
      </c>
      <c r="E148" t="s">
        <v>99</v>
      </c>
      <c r="F148">
        <v>4</v>
      </c>
      <c r="G148">
        <v>5000</v>
      </c>
      <c r="H148" t="s">
        <v>116</v>
      </c>
      <c r="I148" t="str">
        <f>_xlfn.XLOOKUP(E148,'Products Master'!A:A,'Products Master'!B:B)</f>
        <v>Accessories</v>
      </c>
      <c r="J148">
        <f>_xlfn.XLOOKUP(E148,'Products Master'!A:A,'Products Master'!C:C)</f>
        <v>3500</v>
      </c>
      <c r="K148" t="str">
        <f>_xlfn.XLOOKUP(E148,'Products Master'!A:A,'Products Master'!D:D)</f>
        <v>Logitech</v>
      </c>
      <c r="L148">
        <f t="shared" si="8"/>
        <v>20000</v>
      </c>
      <c r="M148">
        <f t="shared" si="9"/>
        <v>14000</v>
      </c>
      <c r="N148">
        <f t="shared" si="10"/>
        <v>6000</v>
      </c>
      <c r="O148" s="2">
        <f t="shared" si="11"/>
        <v>0.3</v>
      </c>
    </row>
    <row r="149" spans="1:15">
      <c r="A149" t="s">
        <v>376</v>
      </c>
      <c r="B149" t="s">
        <v>377</v>
      </c>
      <c r="C149" t="s">
        <v>189</v>
      </c>
      <c r="D149" t="s">
        <v>17</v>
      </c>
      <c r="E149" t="s">
        <v>54</v>
      </c>
      <c r="F149">
        <v>2</v>
      </c>
      <c r="G149">
        <v>7000</v>
      </c>
      <c r="H149" t="s">
        <v>36</v>
      </c>
      <c r="I149" t="str">
        <f>_xlfn.XLOOKUP(E149,'Products Master'!A:A,'Products Master'!B:B)</f>
        <v>Accessories</v>
      </c>
      <c r="J149">
        <f>_xlfn.XLOOKUP(E149,'Products Master'!A:A,'Products Master'!C:C)</f>
        <v>5000</v>
      </c>
      <c r="K149" t="str">
        <f>_xlfn.XLOOKUP(E149,'Products Master'!A:A,'Products Master'!D:D)</f>
        <v>Sony</v>
      </c>
      <c r="L149">
        <f t="shared" si="8"/>
        <v>14000</v>
      </c>
      <c r="M149">
        <f t="shared" si="9"/>
        <v>10000</v>
      </c>
      <c r="N149">
        <f t="shared" si="10"/>
        <v>4000</v>
      </c>
      <c r="O149" s="2">
        <f t="shared" si="11"/>
        <v>0.2857142857142857</v>
      </c>
    </row>
    <row r="150" spans="1:15">
      <c r="A150" t="s">
        <v>378</v>
      </c>
      <c r="B150" t="s">
        <v>379</v>
      </c>
      <c r="C150" t="s">
        <v>134</v>
      </c>
      <c r="D150" t="s">
        <v>23</v>
      </c>
      <c r="E150" t="s">
        <v>40</v>
      </c>
      <c r="F150">
        <v>3</v>
      </c>
      <c r="G150">
        <v>60000</v>
      </c>
      <c r="H150" t="s">
        <v>41</v>
      </c>
      <c r="I150" t="str">
        <f>_xlfn.XLOOKUP(E150,'Products Master'!A:A,'Products Master'!B:B)</f>
        <v>Electronics</v>
      </c>
      <c r="J150">
        <f>_xlfn.XLOOKUP(E150,'Products Master'!A:A,'Products Master'!C:C)</f>
        <v>50000</v>
      </c>
      <c r="K150" t="str">
        <f>_xlfn.XLOOKUP(E150,'Products Master'!A:A,'Products Master'!D:D)</f>
        <v>LG</v>
      </c>
      <c r="L150">
        <f t="shared" si="8"/>
        <v>180000</v>
      </c>
      <c r="M150">
        <f t="shared" si="9"/>
        <v>150000</v>
      </c>
      <c r="N150">
        <f t="shared" si="10"/>
        <v>30000</v>
      </c>
      <c r="O150" s="2">
        <f t="shared" si="11"/>
        <v>0.16666666666666666</v>
      </c>
    </row>
    <row r="151" spans="1:15">
      <c r="A151" t="s">
        <v>380</v>
      </c>
      <c r="B151" t="s">
        <v>381</v>
      </c>
      <c r="C151" t="s">
        <v>382</v>
      </c>
      <c r="D151" t="s">
        <v>11</v>
      </c>
      <c r="E151" t="s">
        <v>18</v>
      </c>
      <c r="F151">
        <v>1</v>
      </c>
      <c r="G151">
        <v>45000</v>
      </c>
      <c r="H151" t="s">
        <v>95</v>
      </c>
      <c r="I151" t="str">
        <f>_xlfn.XLOOKUP(E151,'Products Master'!A:A,'Products Master'!B:B)</f>
        <v>Electronics</v>
      </c>
      <c r="J151">
        <f>_xlfn.XLOOKUP(E151,'Products Master'!A:A,'Products Master'!C:C)</f>
        <v>35000</v>
      </c>
      <c r="K151" t="str">
        <f>_xlfn.XLOOKUP(E151,'Products Master'!A:A,'Products Master'!D:D)</f>
        <v>HP</v>
      </c>
      <c r="L151">
        <f t="shared" si="8"/>
        <v>45000</v>
      </c>
      <c r="M151">
        <f t="shared" si="9"/>
        <v>35000</v>
      </c>
      <c r="N151">
        <f t="shared" si="10"/>
        <v>10000</v>
      </c>
      <c r="O151" s="2">
        <f t="shared" si="11"/>
        <v>0.22222222222222221</v>
      </c>
    </row>
    <row r="152" spans="1:15">
      <c r="A152" t="s">
        <v>383</v>
      </c>
      <c r="B152" t="s">
        <v>76</v>
      </c>
      <c r="C152" t="s">
        <v>384</v>
      </c>
      <c r="D152" t="s">
        <v>11</v>
      </c>
      <c r="E152" t="s">
        <v>179</v>
      </c>
      <c r="F152">
        <v>1</v>
      </c>
      <c r="G152">
        <v>80000</v>
      </c>
      <c r="H152" t="s">
        <v>66</v>
      </c>
      <c r="I152" t="str">
        <f>_xlfn.XLOOKUP(E152,'Products Master'!A:A,'Products Master'!B:B)</f>
        <v>Electronics</v>
      </c>
      <c r="J152">
        <f>_xlfn.XLOOKUP(E152,'Products Master'!A:A,'Products Master'!C:C)</f>
        <v>65000</v>
      </c>
      <c r="K152" t="str">
        <f>_xlfn.XLOOKUP(E152,'Products Master'!A:A,'Products Master'!D:D)</f>
        <v>Samsung</v>
      </c>
      <c r="L152">
        <f t="shared" si="8"/>
        <v>80000</v>
      </c>
      <c r="M152">
        <f t="shared" si="9"/>
        <v>65000</v>
      </c>
      <c r="N152">
        <f t="shared" si="10"/>
        <v>15000</v>
      </c>
      <c r="O152" s="2">
        <f t="shared" si="11"/>
        <v>0.1875</v>
      </c>
    </row>
    <row r="153" spans="1:15">
      <c r="A153" t="s">
        <v>385</v>
      </c>
      <c r="B153" t="s">
        <v>386</v>
      </c>
      <c r="C153" t="s">
        <v>387</v>
      </c>
      <c r="D153" t="s">
        <v>11</v>
      </c>
      <c r="E153" t="s">
        <v>99</v>
      </c>
      <c r="F153">
        <v>4</v>
      </c>
      <c r="G153">
        <v>5000</v>
      </c>
      <c r="H153" t="s">
        <v>13</v>
      </c>
      <c r="I153" t="str">
        <f>_xlfn.XLOOKUP(E153,'Products Master'!A:A,'Products Master'!B:B)</f>
        <v>Accessories</v>
      </c>
      <c r="J153">
        <f>_xlfn.XLOOKUP(E153,'Products Master'!A:A,'Products Master'!C:C)</f>
        <v>3500</v>
      </c>
      <c r="K153" t="str">
        <f>_xlfn.XLOOKUP(E153,'Products Master'!A:A,'Products Master'!D:D)</f>
        <v>Logitech</v>
      </c>
      <c r="L153">
        <f t="shared" si="8"/>
        <v>20000</v>
      </c>
      <c r="M153">
        <f t="shared" si="9"/>
        <v>14000</v>
      </c>
      <c r="N153">
        <f t="shared" si="10"/>
        <v>6000</v>
      </c>
      <c r="O153" s="2">
        <f t="shared" si="11"/>
        <v>0.3</v>
      </c>
    </row>
    <row r="154" spans="1:15">
      <c r="A154" t="s">
        <v>388</v>
      </c>
      <c r="B154" t="s">
        <v>389</v>
      </c>
      <c r="C154" t="s">
        <v>77</v>
      </c>
      <c r="D154" t="s">
        <v>34</v>
      </c>
      <c r="E154" t="s">
        <v>35</v>
      </c>
      <c r="F154">
        <v>1</v>
      </c>
      <c r="G154">
        <v>2000</v>
      </c>
      <c r="H154" t="s">
        <v>13</v>
      </c>
      <c r="I154" t="str">
        <f>_xlfn.XLOOKUP(E154,'Products Master'!A:A,'Products Master'!B:B)</f>
        <v>Storage</v>
      </c>
      <c r="J154">
        <f>_xlfn.XLOOKUP(E154,'Products Master'!A:A,'Products Master'!C:C)</f>
        <v>1200</v>
      </c>
      <c r="K154" t="str">
        <f>_xlfn.XLOOKUP(E154,'Products Master'!A:A,'Products Master'!D:D)</f>
        <v>SanDisk</v>
      </c>
      <c r="L154">
        <f t="shared" si="8"/>
        <v>2000</v>
      </c>
      <c r="M154">
        <f t="shared" si="9"/>
        <v>1200</v>
      </c>
      <c r="N154">
        <f t="shared" si="10"/>
        <v>800</v>
      </c>
      <c r="O154" s="2">
        <f t="shared" si="11"/>
        <v>0.4</v>
      </c>
    </row>
    <row r="155" spans="1:15">
      <c r="A155" t="s">
        <v>390</v>
      </c>
      <c r="B155" t="s">
        <v>182</v>
      </c>
      <c r="C155" t="s">
        <v>209</v>
      </c>
      <c r="D155" t="s">
        <v>17</v>
      </c>
      <c r="E155" t="s">
        <v>49</v>
      </c>
      <c r="F155">
        <v>4</v>
      </c>
      <c r="G155">
        <v>9500</v>
      </c>
      <c r="H155" t="s">
        <v>95</v>
      </c>
      <c r="I155" t="str">
        <f>_xlfn.XLOOKUP(E155,'Products Master'!A:A,'Products Master'!B:B)</f>
        <v>Accessories</v>
      </c>
      <c r="J155">
        <f>_xlfn.XLOOKUP(E155,'Products Master'!A:A,'Products Master'!C:C)</f>
        <v>7000</v>
      </c>
      <c r="K155" t="str">
        <f>_xlfn.XLOOKUP(E155,'Products Master'!A:A,'Products Master'!D:D)</f>
        <v>Logitech</v>
      </c>
      <c r="L155">
        <f t="shared" si="8"/>
        <v>38000</v>
      </c>
      <c r="M155">
        <f t="shared" si="9"/>
        <v>28000</v>
      </c>
      <c r="N155">
        <f t="shared" si="10"/>
        <v>10000</v>
      </c>
      <c r="O155" s="2">
        <f t="shared" si="11"/>
        <v>0.26315789473684209</v>
      </c>
    </row>
    <row r="156" spans="1:15">
      <c r="A156" t="s">
        <v>391</v>
      </c>
      <c r="B156" t="s">
        <v>166</v>
      </c>
      <c r="C156" t="s">
        <v>194</v>
      </c>
      <c r="D156" t="s">
        <v>23</v>
      </c>
      <c r="E156" t="s">
        <v>54</v>
      </c>
      <c r="F156">
        <v>3</v>
      </c>
      <c r="G156">
        <v>7000</v>
      </c>
      <c r="H156" t="s">
        <v>66</v>
      </c>
      <c r="I156" t="str">
        <f>_xlfn.XLOOKUP(E156,'Products Master'!A:A,'Products Master'!B:B)</f>
        <v>Accessories</v>
      </c>
      <c r="J156">
        <f>_xlfn.XLOOKUP(E156,'Products Master'!A:A,'Products Master'!C:C)</f>
        <v>5000</v>
      </c>
      <c r="K156" t="str">
        <f>_xlfn.XLOOKUP(E156,'Products Master'!A:A,'Products Master'!D:D)</f>
        <v>Sony</v>
      </c>
      <c r="L156">
        <f t="shared" si="8"/>
        <v>21000</v>
      </c>
      <c r="M156">
        <f t="shared" si="9"/>
        <v>15000</v>
      </c>
      <c r="N156">
        <f t="shared" si="10"/>
        <v>6000</v>
      </c>
      <c r="O156" s="2">
        <f t="shared" si="11"/>
        <v>0.2857142857142857</v>
      </c>
    </row>
    <row r="157" spans="1:15">
      <c r="A157" t="s">
        <v>392</v>
      </c>
      <c r="B157" t="s">
        <v>393</v>
      </c>
      <c r="C157" t="s">
        <v>394</v>
      </c>
      <c r="D157" t="s">
        <v>17</v>
      </c>
      <c r="E157" t="s">
        <v>35</v>
      </c>
      <c r="F157">
        <v>1</v>
      </c>
      <c r="G157">
        <v>2000</v>
      </c>
      <c r="H157" t="s">
        <v>13</v>
      </c>
      <c r="I157" t="str">
        <f>_xlfn.XLOOKUP(E157,'Products Master'!A:A,'Products Master'!B:B)</f>
        <v>Storage</v>
      </c>
      <c r="J157">
        <f>_xlfn.XLOOKUP(E157,'Products Master'!A:A,'Products Master'!C:C)</f>
        <v>1200</v>
      </c>
      <c r="K157" t="str">
        <f>_xlfn.XLOOKUP(E157,'Products Master'!A:A,'Products Master'!D:D)</f>
        <v>SanDisk</v>
      </c>
      <c r="L157">
        <f t="shared" si="8"/>
        <v>2000</v>
      </c>
      <c r="M157">
        <f t="shared" si="9"/>
        <v>1200</v>
      </c>
      <c r="N157">
        <f t="shared" si="10"/>
        <v>800</v>
      </c>
      <c r="O157" s="2">
        <f t="shared" si="11"/>
        <v>0.4</v>
      </c>
    </row>
    <row r="158" spans="1:15">
      <c r="A158" t="s">
        <v>395</v>
      </c>
      <c r="B158" t="s">
        <v>396</v>
      </c>
      <c r="C158" t="s">
        <v>94</v>
      </c>
      <c r="D158" t="s">
        <v>23</v>
      </c>
      <c r="E158" t="s">
        <v>18</v>
      </c>
      <c r="F158">
        <v>1</v>
      </c>
      <c r="G158">
        <v>45000</v>
      </c>
      <c r="H158" t="s">
        <v>13</v>
      </c>
      <c r="I158" t="str">
        <f>_xlfn.XLOOKUP(E158,'Products Master'!A:A,'Products Master'!B:B)</f>
        <v>Electronics</v>
      </c>
      <c r="J158">
        <f>_xlfn.XLOOKUP(E158,'Products Master'!A:A,'Products Master'!C:C)</f>
        <v>35000</v>
      </c>
      <c r="K158" t="str">
        <f>_xlfn.XLOOKUP(E158,'Products Master'!A:A,'Products Master'!D:D)</f>
        <v>HP</v>
      </c>
      <c r="L158">
        <f t="shared" si="8"/>
        <v>45000</v>
      </c>
      <c r="M158">
        <f t="shared" si="9"/>
        <v>35000</v>
      </c>
      <c r="N158">
        <f t="shared" si="10"/>
        <v>10000</v>
      </c>
      <c r="O158" s="2">
        <f t="shared" si="11"/>
        <v>0.22222222222222221</v>
      </c>
    </row>
    <row r="159" spans="1:15">
      <c r="A159" t="s">
        <v>397</v>
      </c>
      <c r="B159" t="s">
        <v>398</v>
      </c>
      <c r="C159" t="s">
        <v>22</v>
      </c>
      <c r="D159" t="s">
        <v>11</v>
      </c>
      <c r="E159" t="s">
        <v>99</v>
      </c>
      <c r="F159">
        <v>5</v>
      </c>
      <c r="G159">
        <v>5000</v>
      </c>
      <c r="H159" t="s">
        <v>25</v>
      </c>
      <c r="I159" t="str">
        <f>_xlfn.XLOOKUP(E159,'Products Master'!A:A,'Products Master'!B:B)</f>
        <v>Accessories</v>
      </c>
      <c r="J159">
        <f>_xlfn.XLOOKUP(E159,'Products Master'!A:A,'Products Master'!C:C)</f>
        <v>3500</v>
      </c>
      <c r="K159" t="str">
        <f>_xlfn.XLOOKUP(E159,'Products Master'!A:A,'Products Master'!D:D)</f>
        <v>Logitech</v>
      </c>
      <c r="L159">
        <f t="shared" si="8"/>
        <v>25000</v>
      </c>
      <c r="M159">
        <f t="shared" si="9"/>
        <v>17500</v>
      </c>
      <c r="N159">
        <f t="shared" si="10"/>
        <v>7500</v>
      </c>
      <c r="O159" s="2">
        <f t="shared" si="11"/>
        <v>0.3</v>
      </c>
    </row>
    <row r="160" spans="1:15">
      <c r="A160" t="s">
        <v>399</v>
      </c>
      <c r="B160" t="s">
        <v>139</v>
      </c>
      <c r="C160" t="s">
        <v>400</v>
      </c>
      <c r="D160" t="s">
        <v>11</v>
      </c>
      <c r="E160" t="s">
        <v>99</v>
      </c>
      <c r="F160">
        <v>2</v>
      </c>
      <c r="G160">
        <v>5000</v>
      </c>
      <c r="H160" t="s">
        <v>50</v>
      </c>
      <c r="I160" t="str">
        <f>_xlfn.XLOOKUP(E160,'Products Master'!A:A,'Products Master'!B:B)</f>
        <v>Accessories</v>
      </c>
      <c r="J160">
        <f>_xlfn.XLOOKUP(E160,'Products Master'!A:A,'Products Master'!C:C)</f>
        <v>3500</v>
      </c>
      <c r="K160" t="str">
        <f>_xlfn.XLOOKUP(E160,'Products Master'!A:A,'Products Master'!D:D)</f>
        <v>Logitech</v>
      </c>
      <c r="L160">
        <f t="shared" si="8"/>
        <v>10000</v>
      </c>
      <c r="M160">
        <f t="shared" si="9"/>
        <v>7000</v>
      </c>
      <c r="N160">
        <f t="shared" si="10"/>
        <v>3000</v>
      </c>
      <c r="O160" s="2">
        <f t="shared" si="11"/>
        <v>0.3</v>
      </c>
    </row>
    <row r="161" spans="1:15">
      <c r="A161" t="s">
        <v>401</v>
      </c>
      <c r="B161" t="s">
        <v>402</v>
      </c>
      <c r="C161" t="s">
        <v>403</v>
      </c>
      <c r="D161" t="s">
        <v>17</v>
      </c>
      <c r="E161" t="s">
        <v>18</v>
      </c>
      <c r="F161">
        <v>2</v>
      </c>
      <c r="G161">
        <v>45000</v>
      </c>
      <c r="H161" t="s">
        <v>30</v>
      </c>
      <c r="I161" t="str">
        <f>_xlfn.XLOOKUP(E161,'Products Master'!A:A,'Products Master'!B:B)</f>
        <v>Electronics</v>
      </c>
      <c r="J161">
        <f>_xlfn.XLOOKUP(E161,'Products Master'!A:A,'Products Master'!C:C)</f>
        <v>35000</v>
      </c>
      <c r="K161" t="str">
        <f>_xlfn.XLOOKUP(E161,'Products Master'!A:A,'Products Master'!D:D)</f>
        <v>HP</v>
      </c>
      <c r="L161">
        <f t="shared" si="8"/>
        <v>90000</v>
      </c>
      <c r="M161">
        <f t="shared" si="9"/>
        <v>70000</v>
      </c>
      <c r="N161">
        <f t="shared" si="10"/>
        <v>20000</v>
      </c>
      <c r="O161" s="2">
        <f t="shared" si="11"/>
        <v>0.22222222222222221</v>
      </c>
    </row>
    <row r="162" spans="1:15">
      <c r="A162" t="s">
        <v>404</v>
      </c>
      <c r="B162" t="s">
        <v>405</v>
      </c>
      <c r="C162" t="s">
        <v>186</v>
      </c>
      <c r="D162" t="s">
        <v>111</v>
      </c>
      <c r="E162" t="s">
        <v>40</v>
      </c>
      <c r="F162">
        <v>4</v>
      </c>
      <c r="G162">
        <v>60000</v>
      </c>
      <c r="H162" t="s">
        <v>30</v>
      </c>
      <c r="I162" t="str">
        <f>_xlfn.XLOOKUP(E162,'Products Master'!A:A,'Products Master'!B:B)</f>
        <v>Electronics</v>
      </c>
      <c r="J162">
        <f>_xlfn.XLOOKUP(E162,'Products Master'!A:A,'Products Master'!C:C)</f>
        <v>50000</v>
      </c>
      <c r="K162" t="str">
        <f>_xlfn.XLOOKUP(E162,'Products Master'!A:A,'Products Master'!D:D)</f>
        <v>LG</v>
      </c>
      <c r="L162">
        <f t="shared" si="8"/>
        <v>240000</v>
      </c>
      <c r="M162">
        <f t="shared" si="9"/>
        <v>200000</v>
      </c>
      <c r="N162">
        <f t="shared" si="10"/>
        <v>40000</v>
      </c>
      <c r="O162" s="2">
        <f t="shared" si="11"/>
        <v>0.16666666666666666</v>
      </c>
    </row>
    <row r="163" spans="1:15">
      <c r="A163" t="s">
        <v>406</v>
      </c>
      <c r="B163" t="s">
        <v>407</v>
      </c>
      <c r="C163" t="s">
        <v>22</v>
      </c>
      <c r="D163" t="s">
        <v>115</v>
      </c>
      <c r="E163" t="s">
        <v>12</v>
      </c>
      <c r="F163">
        <v>5</v>
      </c>
      <c r="G163">
        <v>150000</v>
      </c>
      <c r="H163" t="s">
        <v>13</v>
      </c>
      <c r="I163" t="str">
        <f>_xlfn.XLOOKUP(E163,'Products Master'!A:A,'Products Master'!B:B)</f>
        <v>Electronics</v>
      </c>
      <c r="J163">
        <f>_xlfn.XLOOKUP(E163,'Products Master'!A:A,'Products Master'!C:C)</f>
        <v>120000</v>
      </c>
      <c r="K163" t="str">
        <f>_xlfn.XLOOKUP(E163,'Products Master'!A:A,'Products Master'!D:D)</f>
        <v>Dell</v>
      </c>
      <c r="L163">
        <f t="shared" si="8"/>
        <v>750000</v>
      </c>
      <c r="M163">
        <f t="shared" si="9"/>
        <v>600000</v>
      </c>
      <c r="N163">
        <f t="shared" si="10"/>
        <v>150000</v>
      </c>
      <c r="O163" s="2">
        <f t="shared" si="11"/>
        <v>0.2</v>
      </c>
    </row>
    <row r="164" spans="1:15">
      <c r="A164" t="s">
        <v>408</v>
      </c>
      <c r="B164" t="s">
        <v>409</v>
      </c>
      <c r="C164" t="s">
        <v>162</v>
      </c>
      <c r="D164" t="s">
        <v>34</v>
      </c>
      <c r="E164" t="s">
        <v>18</v>
      </c>
      <c r="F164">
        <v>5</v>
      </c>
      <c r="G164">
        <v>45000</v>
      </c>
      <c r="H164" t="s">
        <v>95</v>
      </c>
      <c r="I164" t="str">
        <f>_xlfn.XLOOKUP(E164,'Products Master'!A:A,'Products Master'!B:B)</f>
        <v>Electronics</v>
      </c>
      <c r="J164">
        <f>_xlfn.XLOOKUP(E164,'Products Master'!A:A,'Products Master'!C:C)</f>
        <v>35000</v>
      </c>
      <c r="K164" t="str">
        <f>_xlfn.XLOOKUP(E164,'Products Master'!A:A,'Products Master'!D:D)</f>
        <v>HP</v>
      </c>
      <c r="L164">
        <f t="shared" si="8"/>
        <v>225000</v>
      </c>
      <c r="M164">
        <f t="shared" si="9"/>
        <v>175000</v>
      </c>
      <c r="N164">
        <f t="shared" si="10"/>
        <v>50000</v>
      </c>
      <c r="O164" s="2">
        <f t="shared" si="11"/>
        <v>0.22222222222222221</v>
      </c>
    </row>
    <row r="165" spans="1:15">
      <c r="A165" t="s">
        <v>410</v>
      </c>
      <c r="B165" t="s">
        <v>411</v>
      </c>
      <c r="C165" t="s">
        <v>147</v>
      </c>
      <c r="D165" t="s">
        <v>45</v>
      </c>
      <c r="E165" t="s">
        <v>40</v>
      </c>
      <c r="F165">
        <v>1</v>
      </c>
      <c r="G165">
        <v>60000</v>
      </c>
      <c r="H165" t="s">
        <v>41</v>
      </c>
      <c r="I165" t="str">
        <f>_xlfn.XLOOKUP(E165,'Products Master'!A:A,'Products Master'!B:B)</f>
        <v>Electronics</v>
      </c>
      <c r="J165">
        <f>_xlfn.XLOOKUP(E165,'Products Master'!A:A,'Products Master'!C:C)</f>
        <v>50000</v>
      </c>
      <c r="K165" t="str">
        <f>_xlfn.XLOOKUP(E165,'Products Master'!A:A,'Products Master'!D:D)</f>
        <v>LG</v>
      </c>
      <c r="L165">
        <f t="shared" si="8"/>
        <v>60000</v>
      </c>
      <c r="M165">
        <f t="shared" si="9"/>
        <v>50000</v>
      </c>
      <c r="N165">
        <f t="shared" si="10"/>
        <v>10000</v>
      </c>
      <c r="O165" s="2">
        <f t="shared" si="11"/>
        <v>0.16666666666666666</v>
      </c>
    </row>
    <row r="166" spans="1:15">
      <c r="A166" t="s">
        <v>412</v>
      </c>
      <c r="B166" t="s">
        <v>413</v>
      </c>
      <c r="C166" t="s">
        <v>303</v>
      </c>
      <c r="D166" t="s">
        <v>11</v>
      </c>
      <c r="E166" t="s">
        <v>49</v>
      </c>
      <c r="F166">
        <v>2</v>
      </c>
      <c r="G166">
        <v>9500</v>
      </c>
      <c r="H166" t="s">
        <v>95</v>
      </c>
      <c r="I166" t="str">
        <f>_xlfn.XLOOKUP(E166,'Products Master'!A:A,'Products Master'!B:B)</f>
        <v>Accessories</v>
      </c>
      <c r="J166">
        <f>_xlfn.XLOOKUP(E166,'Products Master'!A:A,'Products Master'!C:C)</f>
        <v>7000</v>
      </c>
      <c r="K166" t="str">
        <f>_xlfn.XLOOKUP(E166,'Products Master'!A:A,'Products Master'!D:D)</f>
        <v>Logitech</v>
      </c>
      <c r="L166">
        <f t="shared" si="8"/>
        <v>19000</v>
      </c>
      <c r="M166">
        <f t="shared" si="9"/>
        <v>14000</v>
      </c>
      <c r="N166">
        <f t="shared" si="10"/>
        <v>5000</v>
      </c>
      <c r="O166" s="2">
        <f t="shared" si="11"/>
        <v>0.26315789473684209</v>
      </c>
    </row>
    <row r="167" spans="1:15">
      <c r="A167" t="s">
        <v>414</v>
      </c>
      <c r="B167" t="s">
        <v>68</v>
      </c>
      <c r="C167" t="s">
        <v>48</v>
      </c>
      <c r="D167" t="s">
        <v>45</v>
      </c>
      <c r="E167" t="s">
        <v>24</v>
      </c>
      <c r="F167">
        <v>1</v>
      </c>
      <c r="G167">
        <v>2500</v>
      </c>
      <c r="H167" t="s">
        <v>41</v>
      </c>
      <c r="I167" t="str">
        <f>_xlfn.XLOOKUP(E167,'Products Master'!A:A,'Products Master'!B:B)</f>
        <v>Accessories</v>
      </c>
      <c r="J167">
        <f>_xlfn.XLOOKUP(E167,'Products Master'!A:A,'Products Master'!C:C)</f>
        <v>1500</v>
      </c>
      <c r="K167" t="str">
        <f>_xlfn.XLOOKUP(E167,'Products Master'!A:A,'Products Master'!D:D)</f>
        <v>Logitech</v>
      </c>
      <c r="L167">
        <f t="shared" si="8"/>
        <v>2500</v>
      </c>
      <c r="M167">
        <f t="shared" si="9"/>
        <v>1500</v>
      </c>
      <c r="N167">
        <f t="shared" si="10"/>
        <v>1000</v>
      </c>
      <c r="O167" s="2">
        <f t="shared" si="11"/>
        <v>0.4</v>
      </c>
    </row>
    <row r="168" spans="1:15">
      <c r="A168" t="s">
        <v>415</v>
      </c>
      <c r="B168" t="s">
        <v>413</v>
      </c>
      <c r="C168" t="s">
        <v>318</v>
      </c>
      <c r="D168" t="s">
        <v>29</v>
      </c>
      <c r="E168" t="s">
        <v>35</v>
      </c>
      <c r="F168">
        <v>2</v>
      </c>
      <c r="G168">
        <v>2000</v>
      </c>
      <c r="H168" t="s">
        <v>19</v>
      </c>
      <c r="I168" t="str">
        <f>_xlfn.XLOOKUP(E168,'Products Master'!A:A,'Products Master'!B:B)</f>
        <v>Storage</v>
      </c>
      <c r="J168">
        <f>_xlfn.XLOOKUP(E168,'Products Master'!A:A,'Products Master'!C:C)</f>
        <v>1200</v>
      </c>
      <c r="K168" t="str">
        <f>_xlfn.XLOOKUP(E168,'Products Master'!A:A,'Products Master'!D:D)</f>
        <v>SanDisk</v>
      </c>
      <c r="L168">
        <f t="shared" si="8"/>
        <v>4000</v>
      </c>
      <c r="M168">
        <f t="shared" si="9"/>
        <v>2400</v>
      </c>
      <c r="N168">
        <f t="shared" si="10"/>
        <v>1600</v>
      </c>
      <c r="O168" s="2">
        <f t="shared" si="11"/>
        <v>0.4</v>
      </c>
    </row>
    <row r="169" spans="1:15">
      <c r="A169" t="s">
        <v>416</v>
      </c>
      <c r="B169" t="s">
        <v>417</v>
      </c>
      <c r="C169" t="s">
        <v>44</v>
      </c>
      <c r="D169" t="s">
        <v>34</v>
      </c>
      <c r="E169" t="s">
        <v>124</v>
      </c>
      <c r="F169">
        <v>3</v>
      </c>
      <c r="G169">
        <v>18000</v>
      </c>
      <c r="H169" t="s">
        <v>116</v>
      </c>
      <c r="I169" t="str">
        <f>_xlfn.XLOOKUP(E169,'Products Master'!A:A,'Products Master'!B:B)</f>
        <v>Storage</v>
      </c>
      <c r="J169">
        <f>_xlfn.XLOOKUP(E169,'Products Master'!A:A,'Products Master'!C:C)</f>
        <v>12000</v>
      </c>
      <c r="K169" t="str">
        <f>_xlfn.XLOOKUP(E169,'Products Master'!A:A,'Products Master'!D:D)</f>
        <v>Kingston</v>
      </c>
      <c r="L169">
        <f t="shared" si="8"/>
        <v>54000</v>
      </c>
      <c r="M169">
        <f t="shared" si="9"/>
        <v>36000</v>
      </c>
      <c r="N169">
        <f t="shared" si="10"/>
        <v>18000</v>
      </c>
      <c r="O169" s="2">
        <f t="shared" si="11"/>
        <v>0.33333333333333331</v>
      </c>
    </row>
    <row r="170" spans="1:15">
      <c r="A170" t="s">
        <v>418</v>
      </c>
      <c r="B170" t="s">
        <v>419</v>
      </c>
      <c r="C170" t="s">
        <v>318</v>
      </c>
      <c r="D170" t="s">
        <v>115</v>
      </c>
      <c r="E170" t="s">
        <v>179</v>
      </c>
      <c r="F170">
        <v>5</v>
      </c>
      <c r="G170">
        <v>80000</v>
      </c>
      <c r="H170" t="s">
        <v>66</v>
      </c>
      <c r="I170" t="str">
        <f>_xlfn.XLOOKUP(E170,'Products Master'!A:A,'Products Master'!B:B)</f>
        <v>Electronics</v>
      </c>
      <c r="J170">
        <f>_xlfn.XLOOKUP(E170,'Products Master'!A:A,'Products Master'!C:C)</f>
        <v>65000</v>
      </c>
      <c r="K170" t="str">
        <f>_xlfn.XLOOKUP(E170,'Products Master'!A:A,'Products Master'!D:D)</f>
        <v>Samsung</v>
      </c>
      <c r="L170">
        <f t="shared" si="8"/>
        <v>400000</v>
      </c>
      <c r="M170">
        <f t="shared" si="9"/>
        <v>325000</v>
      </c>
      <c r="N170">
        <f t="shared" si="10"/>
        <v>75000</v>
      </c>
      <c r="O170" s="2">
        <f t="shared" si="11"/>
        <v>0.1875</v>
      </c>
    </row>
    <row r="171" spans="1:15">
      <c r="A171" t="s">
        <v>420</v>
      </c>
      <c r="B171" t="s">
        <v>421</v>
      </c>
      <c r="C171" t="s">
        <v>422</v>
      </c>
      <c r="D171" t="s">
        <v>45</v>
      </c>
      <c r="E171" t="s">
        <v>24</v>
      </c>
      <c r="F171">
        <v>2</v>
      </c>
      <c r="G171">
        <v>2500</v>
      </c>
      <c r="H171" t="s">
        <v>50</v>
      </c>
      <c r="I171" t="str">
        <f>_xlfn.XLOOKUP(E171,'Products Master'!A:A,'Products Master'!B:B)</f>
        <v>Accessories</v>
      </c>
      <c r="J171">
        <f>_xlfn.XLOOKUP(E171,'Products Master'!A:A,'Products Master'!C:C)</f>
        <v>1500</v>
      </c>
      <c r="K171" t="str">
        <f>_xlfn.XLOOKUP(E171,'Products Master'!A:A,'Products Master'!D:D)</f>
        <v>Logitech</v>
      </c>
      <c r="L171">
        <f t="shared" si="8"/>
        <v>5000</v>
      </c>
      <c r="M171">
        <f t="shared" si="9"/>
        <v>3000</v>
      </c>
      <c r="N171">
        <f t="shared" si="10"/>
        <v>2000</v>
      </c>
      <c r="O171" s="2">
        <f t="shared" si="11"/>
        <v>0.4</v>
      </c>
    </row>
    <row r="172" spans="1:15">
      <c r="A172" t="s">
        <v>423</v>
      </c>
      <c r="B172" t="s">
        <v>424</v>
      </c>
      <c r="C172" t="s">
        <v>16</v>
      </c>
      <c r="D172" t="s">
        <v>11</v>
      </c>
      <c r="E172" t="s">
        <v>40</v>
      </c>
      <c r="F172">
        <v>1</v>
      </c>
      <c r="G172">
        <v>60000</v>
      </c>
      <c r="H172" t="s">
        <v>30</v>
      </c>
      <c r="I172" t="str">
        <f>_xlfn.XLOOKUP(E172,'Products Master'!A:A,'Products Master'!B:B)</f>
        <v>Electronics</v>
      </c>
      <c r="J172">
        <f>_xlfn.XLOOKUP(E172,'Products Master'!A:A,'Products Master'!C:C)</f>
        <v>50000</v>
      </c>
      <c r="K172" t="str">
        <f>_xlfn.XLOOKUP(E172,'Products Master'!A:A,'Products Master'!D:D)</f>
        <v>LG</v>
      </c>
      <c r="L172">
        <f t="shared" si="8"/>
        <v>60000</v>
      </c>
      <c r="M172">
        <f t="shared" si="9"/>
        <v>50000</v>
      </c>
      <c r="N172">
        <f t="shared" si="10"/>
        <v>10000</v>
      </c>
      <c r="O172" s="2">
        <f t="shared" si="11"/>
        <v>0.16666666666666666</v>
      </c>
    </row>
    <row r="173" spans="1:15">
      <c r="A173" t="s">
        <v>425</v>
      </c>
      <c r="B173" t="s">
        <v>345</v>
      </c>
      <c r="C173" t="s">
        <v>53</v>
      </c>
      <c r="D173" t="s">
        <v>115</v>
      </c>
      <c r="E173" t="s">
        <v>40</v>
      </c>
      <c r="F173">
        <v>4</v>
      </c>
      <c r="G173">
        <v>60000</v>
      </c>
      <c r="H173" t="s">
        <v>41</v>
      </c>
      <c r="I173" t="str">
        <f>_xlfn.XLOOKUP(E173,'Products Master'!A:A,'Products Master'!B:B)</f>
        <v>Electronics</v>
      </c>
      <c r="J173">
        <f>_xlfn.XLOOKUP(E173,'Products Master'!A:A,'Products Master'!C:C)</f>
        <v>50000</v>
      </c>
      <c r="K173" t="str">
        <f>_xlfn.XLOOKUP(E173,'Products Master'!A:A,'Products Master'!D:D)</f>
        <v>LG</v>
      </c>
      <c r="L173">
        <f t="shared" si="8"/>
        <v>240000</v>
      </c>
      <c r="M173">
        <f t="shared" si="9"/>
        <v>200000</v>
      </c>
      <c r="N173">
        <f t="shared" si="10"/>
        <v>40000</v>
      </c>
      <c r="O173" s="2">
        <f t="shared" si="11"/>
        <v>0.16666666666666666</v>
      </c>
    </row>
    <row r="174" spans="1:15">
      <c r="A174" t="s">
        <v>426</v>
      </c>
      <c r="B174" t="s">
        <v>427</v>
      </c>
      <c r="C174" t="s">
        <v>74</v>
      </c>
      <c r="D174" t="s">
        <v>29</v>
      </c>
      <c r="E174" t="s">
        <v>40</v>
      </c>
      <c r="F174">
        <v>5</v>
      </c>
      <c r="G174">
        <v>60000</v>
      </c>
      <c r="H174" t="s">
        <v>95</v>
      </c>
      <c r="I174" t="str">
        <f>_xlfn.XLOOKUP(E174,'Products Master'!A:A,'Products Master'!B:B)</f>
        <v>Electronics</v>
      </c>
      <c r="J174">
        <f>_xlfn.XLOOKUP(E174,'Products Master'!A:A,'Products Master'!C:C)</f>
        <v>50000</v>
      </c>
      <c r="K174" t="str">
        <f>_xlfn.XLOOKUP(E174,'Products Master'!A:A,'Products Master'!D:D)</f>
        <v>LG</v>
      </c>
      <c r="L174">
        <f t="shared" si="8"/>
        <v>300000</v>
      </c>
      <c r="M174">
        <f t="shared" si="9"/>
        <v>250000</v>
      </c>
      <c r="N174">
        <f t="shared" si="10"/>
        <v>50000</v>
      </c>
      <c r="O174" s="2">
        <f t="shared" si="11"/>
        <v>0.16666666666666666</v>
      </c>
    </row>
    <row r="175" spans="1:15">
      <c r="A175" t="s">
        <v>428</v>
      </c>
      <c r="B175" t="s">
        <v>429</v>
      </c>
      <c r="C175" t="s">
        <v>91</v>
      </c>
      <c r="D175" t="s">
        <v>17</v>
      </c>
      <c r="E175" t="s">
        <v>54</v>
      </c>
      <c r="F175">
        <v>1</v>
      </c>
      <c r="G175">
        <v>7000</v>
      </c>
      <c r="H175" t="s">
        <v>116</v>
      </c>
      <c r="I175" t="str">
        <f>_xlfn.XLOOKUP(E175,'Products Master'!A:A,'Products Master'!B:B)</f>
        <v>Accessories</v>
      </c>
      <c r="J175">
        <f>_xlfn.XLOOKUP(E175,'Products Master'!A:A,'Products Master'!C:C)</f>
        <v>5000</v>
      </c>
      <c r="K175" t="str">
        <f>_xlfn.XLOOKUP(E175,'Products Master'!A:A,'Products Master'!D:D)</f>
        <v>Sony</v>
      </c>
      <c r="L175">
        <f t="shared" si="8"/>
        <v>7000</v>
      </c>
      <c r="M175">
        <f t="shared" si="9"/>
        <v>5000</v>
      </c>
      <c r="N175">
        <f t="shared" si="10"/>
        <v>2000</v>
      </c>
      <c r="O175" s="2">
        <f t="shared" si="11"/>
        <v>0.2857142857142857</v>
      </c>
    </row>
    <row r="176" spans="1:15">
      <c r="A176" t="s">
        <v>430</v>
      </c>
      <c r="B176" t="s">
        <v>431</v>
      </c>
      <c r="C176" t="s">
        <v>432</v>
      </c>
      <c r="D176" t="s">
        <v>17</v>
      </c>
      <c r="E176" t="s">
        <v>179</v>
      </c>
      <c r="F176">
        <v>5</v>
      </c>
      <c r="G176">
        <v>80000</v>
      </c>
      <c r="H176" t="s">
        <v>30</v>
      </c>
      <c r="I176" t="str">
        <f>_xlfn.XLOOKUP(E176,'Products Master'!A:A,'Products Master'!B:B)</f>
        <v>Electronics</v>
      </c>
      <c r="J176">
        <f>_xlfn.XLOOKUP(E176,'Products Master'!A:A,'Products Master'!C:C)</f>
        <v>65000</v>
      </c>
      <c r="K176" t="str">
        <f>_xlfn.XLOOKUP(E176,'Products Master'!A:A,'Products Master'!D:D)</f>
        <v>Samsung</v>
      </c>
      <c r="L176">
        <f t="shared" si="8"/>
        <v>400000</v>
      </c>
      <c r="M176">
        <f t="shared" si="9"/>
        <v>325000</v>
      </c>
      <c r="N176">
        <f t="shared" si="10"/>
        <v>75000</v>
      </c>
      <c r="O176" s="2">
        <f t="shared" si="11"/>
        <v>0.1875</v>
      </c>
    </row>
    <row r="177" spans="1:15">
      <c r="A177" t="s">
        <v>433</v>
      </c>
      <c r="B177" t="s">
        <v>434</v>
      </c>
      <c r="C177" t="s">
        <v>209</v>
      </c>
      <c r="D177" t="s">
        <v>17</v>
      </c>
      <c r="E177" t="s">
        <v>49</v>
      </c>
      <c r="F177">
        <v>2</v>
      </c>
      <c r="G177">
        <v>9500</v>
      </c>
      <c r="H177" t="s">
        <v>41</v>
      </c>
      <c r="I177" t="str">
        <f>_xlfn.XLOOKUP(E177,'Products Master'!A:A,'Products Master'!B:B)</f>
        <v>Accessories</v>
      </c>
      <c r="J177">
        <f>_xlfn.XLOOKUP(E177,'Products Master'!A:A,'Products Master'!C:C)</f>
        <v>7000</v>
      </c>
      <c r="K177" t="str">
        <f>_xlfn.XLOOKUP(E177,'Products Master'!A:A,'Products Master'!D:D)</f>
        <v>Logitech</v>
      </c>
      <c r="L177">
        <f t="shared" si="8"/>
        <v>19000</v>
      </c>
      <c r="M177">
        <f t="shared" si="9"/>
        <v>14000</v>
      </c>
      <c r="N177">
        <f t="shared" si="10"/>
        <v>5000</v>
      </c>
      <c r="O177" s="2">
        <f t="shared" si="11"/>
        <v>0.26315789473684209</v>
      </c>
    </row>
    <row r="178" spans="1:15">
      <c r="A178" t="s">
        <v>435</v>
      </c>
      <c r="B178" t="s">
        <v>9</v>
      </c>
      <c r="C178" t="s">
        <v>170</v>
      </c>
      <c r="D178" t="s">
        <v>29</v>
      </c>
      <c r="E178" t="s">
        <v>12</v>
      </c>
      <c r="F178">
        <v>2</v>
      </c>
      <c r="G178">
        <v>150000</v>
      </c>
      <c r="H178" t="s">
        <v>19</v>
      </c>
      <c r="I178" t="str">
        <f>_xlfn.XLOOKUP(E178,'Products Master'!A:A,'Products Master'!B:B)</f>
        <v>Electronics</v>
      </c>
      <c r="J178">
        <f>_xlfn.XLOOKUP(E178,'Products Master'!A:A,'Products Master'!C:C)</f>
        <v>120000</v>
      </c>
      <c r="K178" t="str">
        <f>_xlfn.XLOOKUP(E178,'Products Master'!A:A,'Products Master'!D:D)</f>
        <v>Dell</v>
      </c>
      <c r="L178">
        <f t="shared" si="8"/>
        <v>300000</v>
      </c>
      <c r="M178">
        <f t="shared" si="9"/>
        <v>240000</v>
      </c>
      <c r="N178">
        <f t="shared" si="10"/>
        <v>60000</v>
      </c>
      <c r="O178" s="2">
        <f t="shared" si="11"/>
        <v>0.2</v>
      </c>
    </row>
    <row r="179" spans="1:15">
      <c r="A179" t="s">
        <v>436</v>
      </c>
      <c r="B179" t="s">
        <v>437</v>
      </c>
      <c r="C179" t="s">
        <v>10</v>
      </c>
      <c r="D179" t="s">
        <v>115</v>
      </c>
      <c r="E179" t="s">
        <v>49</v>
      </c>
      <c r="F179">
        <v>5</v>
      </c>
      <c r="G179">
        <v>9500</v>
      </c>
      <c r="H179" t="s">
        <v>36</v>
      </c>
      <c r="I179" t="str">
        <f>_xlfn.XLOOKUP(E179,'Products Master'!A:A,'Products Master'!B:B)</f>
        <v>Accessories</v>
      </c>
      <c r="J179">
        <f>_xlfn.XLOOKUP(E179,'Products Master'!A:A,'Products Master'!C:C)</f>
        <v>7000</v>
      </c>
      <c r="K179" t="str">
        <f>_xlfn.XLOOKUP(E179,'Products Master'!A:A,'Products Master'!D:D)</f>
        <v>Logitech</v>
      </c>
      <c r="L179">
        <f t="shared" si="8"/>
        <v>47500</v>
      </c>
      <c r="M179">
        <f t="shared" si="9"/>
        <v>35000</v>
      </c>
      <c r="N179">
        <f t="shared" si="10"/>
        <v>12500</v>
      </c>
      <c r="O179" s="2">
        <f t="shared" si="11"/>
        <v>0.26315789473684209</v>
      </c>
    </row>
    <row r="180" spans="1:15">
      <c r="A180" t="s">
        <v>438</v>
      </c>
      <c r="B180" t="s">
        <v>439</v>
      </c>
      <c r="C180" t="s">
        <v>69</v>
      </c>
      <c r="D180" t="s">
        <v>45</v>
      </c>
      <c r="E180" t="s">
        <v>124</v>
      </c>
      <c r="F180">
        <v>2</v>
      </c>
      <c r="G180">
        <v>18000</v>
      </c>
      <c r="H180" t="s">
        <v>36</v>
      </c>
      <c r="I180" t="str">
        <f>_xlfn.XLOOKUP(E180,'Products Master'!A:A,'Products Master'!B:B)</f>
        <v>Storage</v>
      </c>
      <c r="J180">
        <f>_xlfn.XLOOKUP(E180,'Products Master'!A:A,'Products Master'!C:C)</f>
        <v>12000</v>
      </c>
      <c r="K180" t="str">
        <f>_xlfn.XLOOKUP(E180,'Products Master'!A:A,'Products Master'!D:D)</f>
        <v>Kingston</v>
      </c>
      <c r="L180">
        <f t="shared" si="8"/>
        <v>36000</v>
      </c>
      <c r="M180">
        <f t="shared" si="9"/>
        <v>24000</v>
      </c>
      <c r="N180">
        <f t="shared" si="10"/>
        <v>12000</v>
      </c>
      <c r="O180" s="2">
        <f t="shared" si="11"/>
        <v>0.33333333333333331</v>
      </c>
    </row>
    <row r="181" spans="1:15">
      <c r="A181" t="s">
        <v>440</v>
      </c>
      <c r="B181" t="s">
        <v>182</v>
      </c>
      <c r="C181" t="s">
        <v>312</v>
      </c>
      <c r="D181" t="s">
        <v>111</v>
      </c>
      <c r="E181" t="s">
        <v>99</v>
      </c>
      <c r="F181">
        <v>4</v>
      </c>
      <c r="G181">
        <v>5000</v>
      </c>
      <c r="H181" t="s">
        <v>13</v>
      </c>
      <c r="I181" t="str">
        <f>_xlfn.XLOOKUP(E181,'Products Master'!A:A,'Products Master'!B:B)</f>
        <v>Accessories</v>
      </c>
      <c r="J181">
        <f>_xlfn.XLOOKUP(E181,'Products Master'!A:A,'Products Master'!C:C)</f>
        <v>3500</v>
      </c>
      <c r="K181" t="str">
        <f>_xlfn.XLOOKUP(E181,'Products Master'!A:A,'Products Master'!D:D)</f>
        <v>Logitech</v>
      </c>
      <c r="L181">
        <f t="shared" si="8"/>
        <v>20000</v>
      </c>
      <c r="M181">
        <f t="shared" si="9"/>
        <v>14000</v>
      </c>
      <c r="N181">
        <f t="shared" si="10"/>
        <v>6000</v>
      </c>
      <c r="O181" s="2">
        <f t="shared" si="11"/>
        <v>0.3</v>
      </c>
    </row>
    <row r="182" spans="1:15">
      <c r="A182" t="s">
        <v>441</v>
      </c>
      <c r="B182" t="s">
        <v>442</v>
      </c>
      <c r="C182" t="s">
        <v>314</v>
      </c>
      <c r="D182" t="s">
        <v>11</v>
      </c>
      <c r="E182" t="s">
        <v>54</v>
      </c>
      <c r="F182">
        <v>5</v>
      </c>
      <c r="G182">
        <v>7000</v>
      </c>
      <c r="H182" t="s">
        <v>19</v>
      </c>
      <c r="I182" t="str">
        <f>_xlfn.XLOOKUP(E182,'Products Master'!A:A,'Products Master'!B:B)</f>
        <v>Accessories</v>
      </c>
      <c r="J182">
        <f>_xlfn.XLOOKUP(E182,'Products Master'!A:A,'Products Master'!C:C)</f>
        <v>5000</v>
      </c>
      <c r="K182" t="str">
        <f>_xlfn.XLOOKUP(E182,'Products Master'!A:A,'Products Master'!D:D)</f>
        <v>Sony</v>
      </c>
      <c r="L182">
        <f t="shared" si="8"/>
        <v>35000</v>
      </c>
      <c r="M182">
        <f t="shared" si="9"/>
        <v>25000</v>
      </c>
      <c r="N182">
        <f t="shared" si="10"/>
        <v>10000</v>
      </c>
      <c r="O182" s="2">
        <f t="shared" si="11"/>
        <v>0.2857142857142857</v>
      </c>
    </row>
    <row r="183" spans="1:15">
      <c r="A183" t="s">
        <v>443</v>
      </c>
      <c r="B183" t="s">
        <v>444</v>
      </c>
      <c r="C183" t="s">
        <v>209</v>
      </c>
      <c r="D183" t="s">
        <v>29</v>
      </c>
      <c r="E183" t="s">
        <v>124</v>
      </c>
      <c r="F183">
        <v>2</v>
      </c>
      <c r="G183">
        <v>18000</v>
      </c>
      <c r="H183" t="s">
        <v>36</v>
      </c>
      <c r="I183" t="str">
        <f>_xlfn.XLOOKUP(E183,'Products Master'!A:A,'Products Master'!B:B)</f>
        <v>Storage</v>
      </c>
      <c r="J183">
        <f>_xlfn.XLOOKUP(E183,'Products Master'!A:A,'Products Master'!C:C)</f>
        <v>12000</v>
      </c>
      <c r="K183" t="str">
        <f>_xlfn.XLOOKUP(E183,'Products Master'!A:A,'Products Master'!D:D)</f>
        <v>Kingston</v>
      </c>
      <c r="L183">
        <f t="shared" si="8"/>
        <v>36000</v>
      </c>
      <c r="M183">
        <f t="shared" si="9"/>
        <v>24000</v>
      </c>
      <c r="N183">
        <f t="shared" si="10"/>
        <v>12000</v>
      </c>
      <c r="O183" s="2">
        <f t="shared" si="11"/>
        <v>0.33333333333333331</v>
      </c>
    </row>
    <row r="184" spans="1:15">
      <c r="A184" t="s">
        <v>445</v>
      </c>
      <c r="B184" t="s">
        <v>62</v>
      </c>
      <c r="C184" t="s">
        <v>226</v>
      </c>
      <c r="D184" t="s">
        <v>11</v>
      </c>
      <c r="E184" t="s">
        <v>24</v>
      </c>
      <c r="F184">
        <v>5</v>
      </c>
      <c r="G184">
        <v>2500</v>
      </c>
      <c r="H184" t="s">
        <v>116</v>
      </c>
      <c r="I184" t="str">
        <f>_xlfn.XLOOKUP(E184,'Products Master'!A:A,'Products Master'!B:B)</f>
        <v>Accessories</v>
      </c>
      <c r="J184">
        <f>_xlfn.XLOOKUP(E184,'Products Master'!A:A,'Products Master'!C:C)</f>
        <v>1500</v>
      </c>
      <c r="K184" t="str">
        <f>_xlfn.XLOOKUP(E184,'Products Master'!A:A,'Products Master'!D:D)</f>
        <v>Logitech</v>
      </c>
      <c r="L184">
        <f t="shared" si="8"/>
        <v>12500</v>
      </c>
      <c r="M184">
        <f t="shared" si="9"/>
        <v>7500</v>
      </c>
      <c r="N184">
        <f t="shared" si="10"/>
        <v>5000</v>
      </c>
      <c r="O184" s="2">
        <f t="shared" si="11"/>
        <v>0.4</v>
      </c>
    </row>
    <row r="185" spans="1:15">
      <c r="A185" t="s">
        <v>446</v>
      </c>
      <c r="B185" t="s">
        <v>447</v>
      </c>
      <c r="C185" t="s">
        <v>384</v>
      </c>
      <c r="D185" t="s">
        <v>45</v>
      </c>
      <c r="E185" t="s">
        <v>12</v>
      </c>
      <c r="F185">
        <v>2</v>
      </c>
      <c r="G185">
        <v>150000</v>
      </c>
      <c r="H185" t="s">
        <v>50</v>
      </c>
      <c r="I185" t="str">
        <f>_xlfn.XLOOKUP(E185,'Products Master'!A:A,'Products Master'!B:B)</f>
        <v>Electronics</v>
      </c>
      <c r="J185">
        <f>_xlfn.XLOOKUP(E185,'Products Master'!A:A,'Products Master'!C:C)</f>
        <v>120000</v>
      </c>
      <c r="K185" t="str">
        <f>_xlfn.XLOOKUP(E185,'Products Master'!A:A,'Products Master'!D:D)</f>
        <v>Dell</v>
      </c>
      <c r="L185">
        <f t="shared" si="8"/>
        <v>300000</v>
      </c>
      <c r="M185">
        <f t="shared" si="9"/>
        <v>240000</v>
      </c>
      <c r="N185">
        <f t="shared" si="10"/>
        <v>60000</v>
      </c>
      <c r="O185" s="2">
        <f t="shared" si="11"/>
        <v>0.2</v>
      </c>
    </row>
    <row r="186" spans="1:15">
      <c r="A186" t="s">
        <v>448</v>
      </c>
      <c r="B186" t="s">
        <v>449</v>
      </c>
      <c r="C186" t="s">
        <v>63</v>
      </c>
      <c r="D186" t="s">
        <v>23</v>
      </c>
      <c r="E186" t="s">
        <v>12</v>
      </c>
      <c r="F186">
        <v>2</v>
      </c>
      <c r="G186">
        <v>150000</v>
      </c>
      <c r="H186" t="s">
        <v>19</v>
      </c>
      <c r="I186" t="str">
        <f>_xlfn.XLOOKUP(E186,'Products Master'!A:A,'Products Master'!B:B)</f>
        <v>Electronics</v>
      </c>
      <c r="J186">
        <f>_xlfn.XLOOKUP(E186,'Products Master'!A:A,'Products Master'!C:C)</f>
        <v>120000</v>
      </c>
      <c r="K186" t="str">
        <f>_xlfn.XLOOKUP(E186,'Products Master'!A:A,'Products Master'!D:D)</f>
        <v>Dell</v>
      </c>
      <c r="L186">
        <f t="shared" si="8"/>
        <v>300000</v>
      </c>
      <c r="M186">
        <f t="shared" si="9"/>
        <v>240000</v>
      </c>
      <c r="N186">
        <f t="shared" si="10"/>
        <v>60000</v>
      </c>
      <c r="O186" s="2">
        <f t="shared" si="11"/>
        <v>0.2</v>
      </c>
    </row>
    <row r="187" spans="1:15">
      <c r="A187" t="s">
        <v>450</v>
      </c>
      <c r="B187" t="s">
        <v>196</v>
      </c>
      <c r="C187" t="s">
        <v>318</v>
      </c>
      <c r="D187" t="s">
        <v>17</v>
      </c>
      <c r="E187" t="s">
        <v>24</v>
      </c>
      <c r="F187">
        <v>2</v>
      </c>
      <c r="G187">
        <v>2500</v>
      </c>
      <c r="H187" t="s">
        <v>41</v>
      </c>
      <c r="I187" t="str">
        <f>_xlfn.XLOOKUP(E187,'Products Master'!A:A,'Products Master'!B:B)</f>
        <v>Accessories</v>
      </c>
      <c r="J187">
        <f>_xlfn.XLOOKUP(E187,'Products Master'!A:A,'Products Master'!C:C)</f>
        <v>1500</v>
      </c>
      <c r="K187" t="str">
        <f>_xlfn.XLOOKUP(E187,'Products Master'!A:A,'Products Master'!D:D)</f>
        <v>Logitech</v>
      </c>
      <c r="L187">
        <f t="shared" si="8"/>
        <v>5000</v>
      </c>
      <c r="M187">
        <f t="shared" si="9"/>
        <v>3000</v>
      </c>
      <c r="N187">
        <f t="shared" si="10"/>
        <v>2000</v>
      </c>
      <c r="O187" s="2">
        <f t="shared" si="11"/>
        <v>0.4</v>
      </c>
    </row>
    <row r="188" spans="1:15">
      <c r="A188" t="s">
        <v>451</v>
      </c>
      <c r="B188" t="s">
        <v>444</v>
      </c>
      <c r="C188" t="s">
        <v>353</v>
      </c>
      <c r="D188" t="s">
        <v>111</v>
      </c>
      <c r="E188" t="s">
        <v>54</v>
      </c>
      <c r="F188">
        <v>1</v>
      </c>
      <c r="G188">
        <v>7000</v>
      </c>
      <c r="H188" t="s">
        <v>13</v>
      </c>
      <c r="I188" t="str">
        <f>_xlfn.XLOOKUP(E188,'Products Master'!A:A,'Products Master'!B:B)</f>
        <v>Accessories</v>
      </c>
      <c r="J188">
        <f>_xlfn.XLOOKUP(E188,'Products Master'!A:A,'Products Master'!C:C)</f>
        <v>5000</v>
      </c>
      <c r="K188" t="str">
        <f>_xlfn.XLOOKUP(E188,'Products Master'!A:A,'Products Master'!D:D)</f>
        <v>Sony</v>
      </c>
      <c r="L188">
        <f t="shared" si="8"/>
        <v>7000</v>
      </c>
      <c r="M188">
        <f t="shared" si="9"/>
        <v>5000</v>
      </c>
      <c r="N188">
        <f t="shared" si="10"/>
        <v>2000</v>
      </c>
      <c r="O188" s="2">
        <f t="shared" si="11"/>
        <v>0.2857142857142857</v>
      </c>
    </row>
    <row r="189" spans="1:15">
      <c r="A189" t="s">
        <v>452</v>
      </c>
      <c r="B189" t="s">
        <v>453</v>
      </c>
      <c r="C189" t="s">
        <v>454</v>
      </c>
      <c r="D189" t="s">
        <v>115</v>
      </c>
      <c r="E189" t="s">
        <v>40</v>
      </c>
      <c r="F189">
        <v>5</v>
      </c>
      <c r="G189">
        <v>60000</v>
      </c>
      <c r="H189" t="s">
        <v>19</v>
      </c>
      <c r="I189" t="str">
        <f>_xlfn.XLOOKUP(E189,'Products Master'!A:A,'Products Master'!B:B)</f>
        <v>Electronics</v>
      </c>
      <c r="J189">
        <f>_xlfn.XLOOKUP(E189,'Products Master'!A:A,'Products Master'!C:C)</f>
        <v>50000</v>
      </c>
      <c r="K189" t="str">
        <f>_xlfn.XLOOKUP(E189,'Products Master'!A:A,'Products Master'!D:D)</f>
        <v>LG</v>
      </c>
      <c r="L189">
        <f t="shared" si="8"/>
        <v>300000</v>
      </c>
      <c r="M189">
        <f t="shared" si="9"/>
        <v>250000</v>
      </c>
      <c r="N189">
        <f t="shared" si="10"/>
        <v>50000</v>
      </c>
      <c r="O189" s="2">
        <f t="shared" si="11"/>
        <v>0.16666666666666666</v>
      </c>
    </row>
    <row r="190" spans="1:15">
      <c r="A190" t="s">
        <v>455</v>
      </c>
      <c r="B190" t="s">
        <v>456</v>
      </c>
      <c r="C190" t="s">
        <v>104</v>
      </c>
      <c r="D190" t="s">
        <v>29</v>
      </c>
      <c r="E190" t="s">
        <v>12</v>
      </c>
      <c r="F190">
        <v>3</v>
      </c>
      <c r="G190">
        <v>150000</v>
      </c>
      <c r="H190" t="s">
        <v>13</v>
      </c>
      <c r="I190" t="str">
        <f>_xlfn.XLOOKUP(E190,'Products Master'!A:A,'Products Master'!B:B)</f>
        <v>Electronics</v>
      </c>
      <c r="J190">
        <f>_xlfn.XLOOKUP(E190,'Products Master'!A:A,'Products Master'!C:C)</f>
        <v>120000</v>
      </c>
      <c r="K190" t="str">
        <f>_xlfn.XLOOKUP(E190,'Products Master'!A:A,'Products Master'!D:D)</f>
        <v>Dell</v>
      </c>
      <c r="L190">
        <f t="shared" si="8"/>
        <v>450000</v>
      </c>
      <c r="M190">
        <f t="shared" si="9"/>
        <v>360000</v>
      </c>
      <c r="N190">
        <f t="shared" si="10"/>
        <v>90000</v>
      </c>
      <c r="O190" s="2">
        <f t="shared" si="11"/>
        <v>0.2</v>
      </c>
    </row>
    <row r="191" spans="1:15">
      <c r="A191" t="s">
        <v>457</v>
      </c>
      <c r="B191" t="s">
        <v>458</v>
      </c>
      <c r="C191" t="s">
        <v>98</v>
      </c>
      <c r="D191" t="s">
        <v>29</v>
      </c>
      <c r="E191" t="s">
        <v>40</v>
      </c>
      <c r="F191">
        <v>4</v>
      </c>
      <c r="G191">
        <v>60000</v>
      </c>
      <c r="H191" t="s">
        <v>66</v>
      </c>
      <c r="I191" t="str">
        <f>_xlfn.XLOOKUP(E191,'Products Master'!A:A,'Products Master'!B:B)</f>
        <v>Electronics</v>
      </c>
      <c r="J191">
        <f>_xlfn.XLOOKUP(E191,'Products Master'!A:A,'Products Master'!C:C)</f>
        <v>50000</v>
      </c>
      <c r="K191" t="str">
        <f>_xlfn.XLOOKUP(E191,'Products Master'!A:A,'Products Master'!D:D)</f>
        <v>LG</v>
      </c>
      <c r="L191">
        <f t="shared" si="8"/>
        <v>240000</v>
      </c>
      <c r="M191">
        <f t="shared" si="9"/>
        <v>200000</v>
      </c>
      <c r="N191">
        <f t="shared" si="10"/>
        <v>40000</v>
      </c>
      <c r="O191" s="2">
        <f t="shared" si="11"/>
        <v>0.16666666666666666</v>
      </c>
    </row>
    <row r="192" spans="1:15">
      <c r="A192" t="s">
        <v>459</v>
      </c>
      <c r="B192" t="s">
        <v>9</v>
      </c>
      <c r="C192" t="s">
        <v>101</v>
      </c>
      <c r="D192" t="s">
        <v>23</v>
      </c>
      <c r="E192" t="s">
        <v>35</v>
      </c>
      <c r="F192">
        <v>3</v>
      </c>
      <c r="G192">
        <v>2000</v>
      </c>
      <c r="H192" t="s">
        <v>116</v>
      </c>
      <c r="I192" t="str">
        <f>_xlfn.XLOOKUP(E192,'Products Master'!A:A,'Products Master'!B:B)</f>
        <v>Storage</v>
      </c>
      <c r="J192">
        <f>_xlfn.XLOOKUP(E192,'Products Master'!A:A,'Products Master'!C:C)</f>
        <v>1200</v>
      </c>
      <c r="K192" t="str">
        <f>_xlfn.XLOOKUP(E192,'Products Master'!A:A,'Products Master'!D:D)</f>
        <v>SanDisk</v>
      </c>
      <c r="L192">
        <f t="shared" si="8"/>
        <v>6000</v>
      </c>
      <c r="M192">
        <f t="shared" si="9"/>
        <v>3600</v>
      </c>
      <c r="N192">
        <f t="shared" si="10"/>
        <v>2400</v>
      </c>
      <c r="O192" s="2">
        <f t="shared" si="11"/>
        <v>0.4</v>
      </c>
    </row>
    <row r="193" spans="1:15">
      <c r="A193" t="s">
        <v>460</v>
      </c>
      <c r="B193" t="s">
        <v>461</v>
      </c>
      <c r="C193" t="s">
        <v>454</v>
      </c>
      <c r="D193" t="s">
        <v>23</v>
      </c>
      <c r="E193" t="s">
        <v>124</v>
      </c>
      <c r="F193">
        <v>1</v>
      </c>
      <c r="G193">
        <v>18000</v>
      </c>
      <c r="H193" t="s">
        <v>13</v>
      </c>
      <c r="I193" t="str">
        <f>_xlfn.XLOOKUP(E193,'Products Master'!A:A,'Products Master'!B:B)</f>
        <v>Storage</v>
      </c>
      <c r="J193">
        <f>_xlfn.XLOOKUP(E193,'Products Master'!A:A,'Products Master'!C:C)</f>
        <v>12000</v>
      </c>
      <c r="K193" t="str">
        <f>_xlfn.XLOOKUP(E193,'Products Master'!A:A,'Products Master'!D:D)</f>
        <v>Kingston</v>
      </c>
      <c r="L193">
        <f t="shared" si="8"/>
        <v>18000</v>
      </c>
      <c r="M193">
        <f t="shared" si="9"/>
        <v>12000</v>
      </c>
      <c r="N193">
        <f t="shared" si="10"/>
        <v>6000</v>
      </c>
      <c r="O193" s="2">
        <f t="shared" si="11"/>
        <v>0.33333333333333331</v>
      </c>
    </row>
    <row r="194" spans="1:15">
      <c r="A194" t="s">
        <v>462</v>
      </c>
      <c r="B194" t="s">
        <v>241</v>
      </c>
      <c r="C194" t="s">
        <v>230</v>
      </c>
      <c r="D194" t="s">
        <v>115</v>
      </c>
      <c r="E194" t="s">
        <v>99</v>
      </c>
      <c r="F194">
        <v>3</v>
      </c>
      <c r="G194">
        <v>5000</v>
      </c>
      <c r="H194" t="s">
        <v>116</v>
      </c>
      <c r="I194" t="str">
        <f>_xlfn.XLOOKUP(E194,'Products Master'!A:A,'Products Master'!B:B)</f>
        <v>Accessories</v>
      </c>
      <c r="J194">
        <f>_xlfn.XLOOKUP(E194,'Products Master'!A:A,'Products Master'!C:C)</f>
        <v>3500</v>
      </c>
      <c r="K194" t="str">
        <f>_xlfn.XLOOKUP(E194,'Products Master'!A:A,'Products Master'!D:D)</f>
        <v>Logitech</v>
      </c>
      <c r="L194">
        <f t="shared" si="8"/>
        <v>15000</v>
      </c>
      <c r="M194">
        <f t="shared" si="9"/>
        <v>10500</v>
      </c>
      <c r="N194">
        <f t="shared" si="10"/>
        <v>4500</v>
      </c>
      <c r="O194" s="2">
        <f t="shared" si="11"/>
        <v>0.3</v>
      </c>
    </row>
    <row r="195" spans="1:15">
      <c r="A195" t="s">
        <v>463</v>
      </c>
      <c r="B195" t="s">
        <v>464</v>
      </c>
      <c r="C195" t="s">
        <v>382</v>
      </c>
      <c r="D195" t="s">
        <v>111</v>
      </c>
      <c r="E195" t="s">
        <v>24</v>
      </c>
      <c r="F195">
        <v>5</v>
      </c>
      <c r="G195">
        <v>2500</v>
      </c>
      <c r="H195" t="s">
        <v>13</v>
      </c>
      <c r="I195" t="str">
        <f>_xlfn.XLOOKUP(E195,'Products Master'!A:A,'Products Master'!B:B)</f>
        <v>Accessories</v>
      </c>
      <c r="J195">
        <f>_xlfn.XLOOKUP(E195,'Products Master'!A:A,'Products Master'!C:C)</f>
        <v>1500</v>
      </c>
      <c r="K195" t="str">
        <f>_xlfn.XLOOKUP(E195,'Products Master'!A:A,'Products Master'!D:D)</f>
        <v>Logitech</v>
      </c>
      <c r="L195">
        <f t="shared" ref="L195:L258" si="12">F195*G195</f>
        <v>12500</v>
      </c>
      <c r="M195">
        <f t="shared" ref="M195:M258" si="13">F195*J195</f>
        <v>7500</v>
      </c>
      <c r="N195">
        <f t="shared" ref="N195:N258" si="14">L195-M195</f>
        <v>5000</v>
      </c>
      <c r="O195" s="2">
        <f t="shared" ref="O195:O258" si="15">N195/L195</f>
        <v>0.4</v>
      </c>
    </row>
    <row r="196" spans="1:15">
      <c r="A196" t="s">
        <v>465</v>
      </c>
      <c r="B196" t="s">
        <v>339</v>
      </c>
      <c r="C196" t="s">
        <v>466</v>
      </c>
      <c r="D196" t="s">
        <v>17</v>
      </c>
      <c r="E196" t="s">
        <v>24</v>
      </c>
      <c r="F196">
        <v>4</v>
      </c>
      <c r="G196">
        <v>2500</v>
      </c>
      <c r="H196" t="s">
        <v>25</v>
      </c>
      <c r="I196" t="str">
        <f>_xlfn.XLOOKUP(E196,'Products Master'!A:A,'Products Master'!B:B)</f>
        <v>Accessories</v>
      </c>
      <c r="J196">
        <f>_xlfn.XLOOKUP(E196,'Products Master'!A:A,'Products Master'!C:C)</f>
        <v>1500</v>
      </c>
      <c r="K196" t="str">
        <f>_xlfn.XLOOKUP(E196,'Products Master'!A:A,'Products Master'!D:D)</f>
        <v>Logitech</v>
      </c>
      <c r="L196">
        <f t="shared" si="12"/>
        <v>10000</v>
      </c>
      <c r="M196">
        <f t="shared" si="13"/>
        <v>6000</v>
      </c>
      <c r="N196">
        <f t="shared" si="14"/>
        <v>4000</v>
      </c>
      <c r="O196" s="2">
        <f t="shared" si="15"/>
        <v>0.4</v>
      </c>
    </row>
    <row r="197" spans="1:15">
      <c r="A197" t="s">
        <v>467</v>
      </c>
      <c r="B197" t="s">
        <v>267</v>
      </c>
      <c r="C197" t="s">
        <v>159</v>
      </c>
      <c r="D197" t="s">
        <v>111</v>
      </c>
      <c r="E197" t="s">
        <v>179</v>
      </c>
      <c r="F197">
        <v>1</v>
      </c>
      <c r="G197">
        <v>80000</v>
      </c>
      <c r="H197" t="s">
        <v>41</v>
      </c>
      <c r="I197" t="str">
        <f>_xlfn.XLOOKUP(E197,'Products Master'!A:A,'Products Master'!B:B)</f>
        <v>Electronics</v>
      </c>
      <c r="J197">
        <f>_xlfn.XLOOKUP(E197,'Products Master'!A:A,'Products Master'!C:C)</f>
        <v>65000</v>
      </c>
      <c r="K197" t="str">
        <f>_xlfn.XLOOKUP(E197,'Products Master'!A:A,'Products Master'!D:D)</f>
        <v>Samsung</v>
      </c>
      <c r="L197">
        <f t="shared" si="12"/>
        <v>80000</v>
      </c>
      <c r="M197">
        <f t="shared" si="13"/>
        <v>65000</v>
      </c>
      <c r="N197">
        <f t="shared" si="14"/>
        <v>15000</v>
      </c>
      <c r="O197" s="2">
        <f t="shared" si="15"/>
        <v>0.1875</v>
      </c>
    </row>
    <row r="198" spans="1:15">
      <c r="A198" t="s">
        <v>468</v>
      </c>
      <c r="B198" t="s">
        <v>259</v>
      </c>
      <c r="C198" t="s">
        <v>104</v>
      </c>
      <c r="D198" t="s">
        <v>17</v>
      </c>
      <c r="E198" t="s">
        <v>35</v>
      </c>
      <c r="F198">
        <v>2</v>
      </c>
      <c r="G198">
        <v>2000</v>
      </c>
      <c r="H198" t="s">
        <v>50</v>
      </c>
      <c r="I198" t="str">
        <f>_xlfn.XLOOKUP(E198,'Products Master'!A:A,'Products Master'!B:B)</f>
        <v>Storage</v>
      </c>
      <c r="J198">
        <f>_xlfn.XLOOKUP(E198,'Products Master'!A:A,'Products Master'!C:C)</f>
        <v>1200</v>
      </c>
      <c r="K198" t="str">
        <f>_xlfn.XLOOKUP(E198,'Products Master'!A:A,'Products Master'!D:D)</f>
        <v>SanDisk</v>
      </c>
      <c r="L198">
        <f t="shared" si="12"/>
        <v>4000</v>
      </c>
      <c r="M198">
        <f t="shared" si="13"/>
        <v>2400</v>
      </c>
      <c r="N198">
        <f t="shared" si="14"/>
        <v>1600</v>
      </c>
      <c r="O198" s="2">
        <f t="shared" si="15"/>
        <v>0.4</v>
      </c>
    </row>
    <row r="199" spans="1:15">
      <c r="A199" t="s">
        <v>469</v>
      </c>
      <c r="B199" t="s">
        <v>243</v>
      </c>
      <c r="C199" t="s">
        <v>470</v>
      </c>
      <c r="D199" t="s">
        <v>17</v>
      </c>
      <c r="E199" t="s">
        <v>49</v>
      </c>
      <c r="F199">
        <v>4</v>
      </c>
      <c r="G199">
        <v>9500</v>
      </c>
      <c r="H199" t="s">
        <v>41</v>
      </c>
      <c r="I199" t="str">
        <f>_xlfn.XLOOKUP(E199,'Products Master'!A:A,'Products Master'!B:B)</f>
        <v>Accessories</v>
      </c>
      <c r="J199">
        <f>_xlfn.XLOOKUP(E199,'Products Master'!A:A,'Products Master'!C:C)</f>
        <v>7000</v>
      </c>
      <c r="K199" t="str">
        <f>_xlfn.XLOOKUP(E199,'Products Master'!A:A,'Products Master'!D:D)</f>
        <v>Logitech</v>
      </c>
      <c r="L199">
        <f t="shared" si="12"/>
        <v>38000</v>
      </c>
      <c r="M199">
        <f t="shared" si="13"/>
        <v>28000</v>
      </c>
      <c r="N199">
        <f t="shared" si="14"/>
        <v>10000</v>
      </c>
      <c r="O199" s="2">
        <f t="shared" si="15"/>
        <v>0.26315789473684209</v>
      </c>
    </row>
    <row r="200" spans="1:15">
      <c r="A200" t="s">
        <v>471</v>
      </c>
      <c r="B200" t="s">
        <v>472</v>
      </c>
      <c r="C200" t="s">
        <v>294</v>
      </c>
      <c r="D200" t="s">
        <v>17</v>
      </c>
      <c r="E200" t="s">
        <v>40</v>
      </c>
      <c r="F200">
        <v>2</v>
      </c>
      <c r="G200">
        <v>60000</v>
      </c>
      <c r="H200" t="s">
        <v>13</v>
      </c>
      <c r="I200" t="str">
        <f>_xlfn.XLOOKUP(E200,'Products Master'!A:A,'Products Master'!B:B)</f>
        <v>Electronics</v>
      </c>
      <c r="J200">
        <f>_xlfn.XLOOKUP(E200,'Products Master'!A:A,'Products Master'!C:C)</f>
        <v>50000</v>
      </c>
      <c r="K200" t="str">
        <f>_xlfn.XLOOKUP(E200,'Products Master'!A:A,'Products Master'!D:D)</f>
        <v>LG</v>
      </c>
      <c r="L200">
        <f t="shared" si="12"/>
        <v>120000</v>
      </c>
      <c r="M200">
        <f t="shared" si="13"/>
        <v>100000</v>
      </c>
      <c r="N200">
        <f t="shared" si="14"/>
        <v>20000</v>
      </c>
      <c r="O200" s="2">
        <f t="shared" si="15"/>
        <v>0.16666666666666666</v>
      </c>
    </row>
    <row r="201" spans="1:15">
      <c r="A201" t="s">
        <v>473</v>
      </c>
      <c r="B201" t="s">
        <v>474</v>
      </c>
      <c r="C201" t="s">
        <v>263</v>
      </c>
      <c r="D201" t="s">
        <v>17</v>
      </c>
      <c r="E201" t="s">
        <v>49</v>
      </c>
      <c r="F201">
        <v>3</v>
      </c>
      <c r="G201">
        <v>9500</v>
      </c>
      <c r="H201" t="s">
        <v>19</v>
      </c>
      <c r="I201" t="str">
        <f>_xlfn.XLOOKUP(E201,'Products Master'!A:A,'Products Master'!B:B)</f>
        <v>Accessories</v>
      </c>
      <c r="J201">
        <f>_xlfn.XLOOKUP(E201,'Products Master'!A:A,'Products Master'!C:C)</f>
        <v>7000</v>
      </c>
      <c r="K201" t="str">
        <f>_xlfn.XLOOKUP(E201,'Products Master'!A:A,'Products Master'!D:D)</f>
        <v>Logitech</v>
      </c>
      <c r="L201">
        <f t="shared" si="12"/>
        <v>28500</v>
      </c>
      <c r="M201">
        <f t="shared" si="13"/>
        <v>21000</v>
      </c>
      <c r="N201">
        <f t="shared" si="14"/>
        <v>7500</v>
      </c>
      <c r="O201" s="2">
        <f t="shared" si="15"/>
        <v>0.26315789473684209</v>
      </c>
    </row>
    <row r="202" spans="1:15">
      <c r="A202" t="s">
        <v>475</v>
      </c>
      <c r="B202" t="s">
        <v>278</v>
      </c>
      <c r="C202" t="s">
        <v>476</v>
      </c>
      <c r="D202" t="s">
        <v>45</v>
      </c>
      <c r="E202" t="s">
        <v>124</v>
      </c>
      <c r="F202">
        <v>5</v>
      </c>
      <c r="G202">
        <v>18000</v>
      </c>
      <c r="H202" t="s">
        <v>50</v>
      </c>
      <c r="I202" t="str">
        <f>_xlfn.XLOOKUP(E202,'Products Master'!A:A,'Products Master'!B:B)</f>
        <v>Storage</v>
      </c>
      <c r="J202">
        <f>_xlfn.XLOOKUP(E202,'Products Master'!A:A,'Products Master'!C:C)</f>
        <v>12000</v>
      </c>
      <c r="K202" t="str">
        <f>_xlfn.XLOOKUP(E202,'Products Master'!A:A,'Products Master'!D:D)</f>
        <v>Kingston</v>
      </c>
      <c r="L202">
        <f t="shared" si="12"/>
        <v>90000</v>
      </c>
      <c r="M202">
        <f t="shared" si="13"/>
        <v>60000</v>
      </c>
      <c r="N202">
        <f t="shared" si="14"/>
        <v>30000</v>
      </c>
      <c r="O202" s="2">
        <f t="shared" si="15"/>
        <v>0.33333333333333331</v>
      </c>
    </row>
    <row r="203" spans="1:15">
      <c r="A203" t="s">
        <v>477</v>
      </c>
      <c r="B203" t="s">
        <v>478</v>
      </c>
      <c r="C203" t="s">
        <v>33</v>
      </c>
      <c r="D203" t="s">
        <v>34</v>
      </c>
      <c r="E203" t="s">
        <v>12</v>
      </c>
      <c r="F203">
        <v>5</v>
      </c>
      <c r="G203">
        <v>150000</v>
      </c>
      <c r="H203" t="s">
        <v>25</v>
      </c>
      <c r="I203" t="str">
        <f>_xlfn.XLOOKUP(E203,'Products Master'!A:A,'Products Master'!B:B)</f>
        <v>Electronics</v>
      </c>
      <c r="J203">
        <f>_xlfn.XLOOKUP(E203,'Products Master'!A:A,'Products Master'!C:C)</f>
        <v>120000</v>
      </c>
      <c r="K203" t="str">
        <f>_xlfn.XLOOKUP(E203,'Products Master'!A:A,'Products Master'!D:D)</f>
        <v>Dell</v>
      </c>
      <c r="L203">
        <f t="shared" si="12"/>
        <v>750000</v>
      </c>
      <c r="M203">
        <f t="shared" si="13"/>
        <v>600000</v>
      </c>
      <c r="N203">
        <f t="shared" si="14"/>
        <v>150000</v>
      </c>
      <c r="O203" s="2">
        <f t="shared" si="15"/>
        <v>0.2</v>
      </c>
    </row>
    <row r="204" spans="1:15">
      <c r="A204" t="s">
        <v>479</v>
      </c>
      <c r="B204" t="s">
        <v>480</v>
      </c>
      <c r="C204" t="s">
        <v>481</v>
      </c>
      <c r="D204" t="s">
        <v>34</v>
      </c>
      <c r="E204" t="s">
        <v>124</v>
      </c>
      <c r="F204">
        <v>4</v>
      </c>
      <c r="G204">
        <v>18000</v>
      </c>
      <c r="H204" t="s">
        <v>19</v>
      </c>
      <c r="I204" t="str">
        <f>_xlfn.XLOOKUP(E204,'Products Master'!A:A,'Products Master'!B:B)</f>
        <v>Storage</v>
      </c>
      <c r="J204">
        <f>_xlfn.XLOOKUP(E204,'Products Master'!A:A,'Products Master'!C:C)</f>
        <v>12000</v>
      </c>
      <c r="K204" t="str">
        <f>_xlfn.XLOOKUP(E204,'Products Master'!A:A,'Products Master'!D:D)</f>
        <v>Kingston</v>
      </c>
      <c r="L204">
        <f t="shared" si="12"/>
        <v>72000</v>
      </c>
      <c r="M204">
        <f t="shared" si="13"/>
        <v>48000</v>
      </c>
      <c r="N204">
        <f t="shared" si="14"/>
        <v>24000</v>
      </c>
      <c r="O204" s="2">
        <f t="shared" si="15"/>
        <v>0.33333333333333331</v>
      </c>
    </row>
    <row r="205" spans="1:15">
      <c r="A205" t="s">
        <v>482</v>
      </c>
      <c r="B205" t="s">
        <v>483</v>
      </c>
      <c r="C205" t="s">
        <v>152</v>
      </c>
      <c r="D205" t="s">
        <v>45</v>
      </c>
      <c r="E205" t="s">
        <v>54</v>
      </c>
      <c r="F205">
        <v>3</v>
      </c>
      <c r="G205">
        <v>7000</v>
      </c>
      <c r="H205" t="s">
        <v>116</v>
      </c>
      <c r="I205" t="str">
        <f>_xlfn.XLOOKUP(E205,'Products Master'!A:A,'Products Master'!B:B)</f>
        <v>Accessories</v>
      </c>
      <c r="J205">
        <f>_xlfn.XLOOKUP(E205,'Products Master'!A:A,'Products Master'!C:C)</f>
        <v>5000</v>
      </c>
      <c r="K205" t="str">
        <f>_xlfn.XLOOKUP(E205,'Products Master'!A:A,'Products Master'!D:D)</f>
        <v>Sony</v>
      </c>
      <c r="L205">
        <f t="shared" si="12"/>
        <v>21000</v>
      </c>
      <c r="M205">
        <f t="shared" si="13"/>
        <v>15000</v>
      </c>
      <c r="N205">
        <f t="shared" si="14"/>
        <v>6000</v>
      </c>
      <c r="O205" s="2">
        <f t="shared" si="15"/>
        <v>0.2857142857142857</v>
      </c>
    </row>
    <row r="206" spans="1:15">
      <c r="A206" t="s">
        <v>484</v>
      </c>
      <c r="B206" t="s">
        <v>320</v>
      </c>
      <c r="C206" t="s">
        <v>156</v>
      </c>
      <c r="D206" t="s">
        <v>34</v>
      </c>
      <c r="E206" t="s">
        <v>99</v>
      </c>
      <c r="F206">
        <v>1</v>
      </c>
      <c r="G206">
        <v>5000</v>
      </c>
      <c r="H206" t="s">
        <v>30</v>
      </c>
      <c r="I206" t="str">
        <f>_xlfn.XLOOKUP(E206,'Products Master'!A:A,'Products Master'!B:B)</f>
        <v>Accessories</v>
      </c>
      <c r="J206">
        <f>_xlfn.XLOOKUP(E206,'Products Master'!A:A,'Products Master'!C:C)</f>
        <v>3500</v>
      </c>
      <c r="K206" t="str">
        <f>_xlfn.XLOOKUP(E206,'Products Master'!A:A,'Products Master'!D:D)</f>
        <v>Logitech</v>
      </c>
      <c r="L206">
        <f t="shared" si="12"/>
        <v>5000</v>
      </c>
      <c r="M206">
        <f t="shared" si="13"/>
        <v>3500</v>
      </c>
      <c r="N206">
        <f t="shared" si="14"/>
        <v>1500</v>
      </c>
      <c r="O206" s="2">
        <f t="shared" si="15"/>
        <v>0.3</v>
      </c>
    </row>
    <row r="207" spans="1:15">
      <c r="A207" t="s">
        <v>485</v>
      </c>
      <c r="B207" t="s">
        <v>486</v>
      </c>
      <c r="C207" t="s">
        <v>167</v>
      </c>
      <c r="D207" t="s">
        <v>34</v>
      </c>
      <c r="E207" t="s">
        <v>12</v>
      </c>
      <c r="F207">
        <v>2</v>
      </c>
      <c r="G207">
        <v>150000</v>
      </c>
      <c r="H207" t="s">
        <v>36</v>
      </c>
      <c r="I207" t="str">
        <f>_xlfn.XLOOKUP(E207,'Products Master'!A:A,'Products Master'!B:B)</f>
        <v>Electronics</v>
      </c>
      <c r="J207">
        <f>_xlfn.XLOOKUP(E207,'Products Master'!A:A,'Products Master'!C:C)</f>
        <v>120000</v>
      </c>
      <c r="K207" t="str">
        <f>_xlfn.XLOOKUP(E207,'Products Master'!A:A,'Products Master'!D:D)</f>
        <v>Dell</v>
      </c>
      <c r="L207">
        <f t="shared" si="12"/>
        <v>300000</v>
      </c>
      <c r="M207">
        <f t="shared" si="13"/>
        <v>240000</v>
      </c>
      <c r="N207">
        <f t="shared" si="14"/>
        <v>60000</v>
      </c>
      <c r="O207" s="2">
        <f t="shared" si="15"/>
        <v>0.2</v>
      </c>
    </row>
    <row r="208" spans="1:15">
      <c r="A208" t="s">
        <v>487</v>
      </c>
      <c r="B208" t="s">
        <v>488</v>
      </c>
      <c r="C208" t="s">
        <v>94</v>
      </c>
      <c r="D208" t="s">
        <v>111</v>
      </c>
      <c r="E208" t="s">
        <v>24</v>
      </c>
      <c r="F208">
        <v>2</v>
      </c>
      <c r="G208">
        <v>2500</v>
      </c>
      <c r="H208" t="s">
        <v>13</v>
      </c>
      <c r="I208" t="str">
        <f>_xlfn.XLOOKUP(E208,'Products Master'!A:A,'Products Master'!B:B)</f>
        <v>Accessories</v>
      </c>
      <c r="J208">
        <f>_xlfn.XLOOKUP(E208,'Products Master'!A:A,'Products Master'!C:C)</f>
        <v>1500</v>
      </c>
      <c r="K208" t="str">
        <f>_xlfn.XLOOKUP(E208,'Products Master'!A:A,'Products Master'!D:D)</f>
        <v>Logitech</v>
      </c>
      <c r="L208">
        <f t="shared" si="12"/>
        <v>5000</v>
      </c>
      <c r="M208">
        <f t="shared" si="13"/>
        <v>3000</v>
      </c>
      <c r="N208">
        <f t="shared" si="14"/>
        <v>2000</v>
      </c>
      <c r="O208" s="2">
        <f t="shared" si="15"/>
        <v>0.4</v>
      </c>
    </row>
    <row r="209" spans="1:15">
      <c r="A209" t="s">
        <v>489</v>
      </c>
      <c r="B209" t="s">
        <v>490</v>
      </c>
      <c r="C209" t="s">
        <v>491</v>
      </c>
      <c r="D209" t="s">
        <v>17</v>
      </c>
      <c r="E209" t="s">
        <v>124</v>
      </c>
      <c r="F209">
        <v>3</v>
      </c>
      <c r="G209">
        <v>18000</v>
      </c>
      <c r="H209" t="s">
        <v>19</v>
      </c>
      <c r="I209" t="str">
        <f>_xlfn.XLOOKUP(E209,'Products Master'!A:A,'Products Master'!B:B)</f>
        <v>Storage</v>
      </c>
      <c r="J209">
        <f>_xlfn.XLOOKUP(E209,'Products Master'!A:A,'Products Master'!C:C)</f>
        <v>12000</v>
      </c>
      <c r="K209" t="str">
        <f>_xlfn.XLOOKUP(E209,'Products Master'!A:A,'Products Master'!D:D)</f>
        <v>Kingston</v>
      </c>
      <c r="L209">
        <f t="shared" si="12"/>
        <v>54000</v>
      </c>
      <c r="M209">
        <f t="shared" si="13"/>
        <v>36000</v>
      </c>
      <c r="N209">
        <f t="shared" si="14"/>
        <v>18000</v>
      </c>
      <c r="O209" s="2">
        <f t="shared" si="15"/>
        <v>0.33333333333333331</v>
      </c>
    </row>
    <row r="210" spans="1:15">
      <c r="A210" t="s">
        <v>492</v>
      </c>
      <c r="B210" t="s">
        <v>493</v>
      </c>
      <c r="C210" t="s">
        <v>330</v>
      </c>
      <c r="D210" t="s">
        <v>111</v>
      </c>
      <c r="E210" t="s">
        <v>35</v>
      </c>
      <c r="F210">
        <v>5</v>
      </c>
      <c r="G210">
        <v>2000</v>
      </c>
      <c r="H210" t="s">
        <v>50</v>
      </c>
      <c r="I210" t="str">
        <f>_xlfn.XLOOKUP(E210,'Products Master'!A:A,'Products Master'!B:B)</f>
        <v>Storage</v>
      </c>
      <c r="J210">
        <f>_xlfn.XLOOKUP(E210,'Products Master'!A:A,'Products Master'!C:C)</f>
        <v>1200</v>
      </c>
      <c r="K210" t="str">
        <f>_xlfn.XLOOKUP(E210,'Products Master'!A:A,'Products Master'!D:D)</f>
        <v>SanDisk</v>
      </c>
      <c r="L210">
        <f t="shared" si="12"/>
        <v>10000</v>
      </c>
      <c r="M210">
        <f t="shared" si="13"/>
        <v>6000</v>
      </c>
      <c r="N210">
        <f t="shared" si="14"/>
        <v>4000</v>
      </c>
      <c r="O210" s="2">
        <f t="shared" si="15"/>
        <v>0.4</v>
      </c>
    </row>
    <row r="211" spans="1:15">
      <c r="A211" t="s">
        <v>494</v>
      </c>
      <c r="B211" t="s">
        <v>495</v>
      </c>
      <c r="C211" t="s">
        <v>470</v>
      </c>
      <c r="D211" t="s">
        <v>111</v>
      </c>
      <c r="E211" t="s">
        <v>12</v>
      </c>
      <c r="F211">
        <v>4</v>
      </c>
      <c r="G211">
        <v>150000</v>
      </c>
      <c r="H211" t="s">
        <v>50</v>
      </c>
      <c r="I211" t="str">
        <f>_xlfn.XLOOKUP(E211,'Products Master'!A:A,'Products Master'!B:B)</f>
        <v>Electronics</v>
      </c>
      <c r="J211">
        <f>_xlfn.XLOOKUP(E211,'Products Master'!A:A,'Products Master'!C:C)</f>
        <v>120000</v>
      </c>
      <c r="K211" t="str">
        <f>_xlfn.XLOOKUP(E211,'Products Master'!A:A,'Products Master'!D:D)</f>
        <v>Dell</v>
      </c>
      <c r="L211">
        <f t="shared" si="12"/>
        <v>600000</v>
      </c>
      <c r="M211">
        <f t="shared" si="13"/>
        <v>480000</v>
      </c>
      <c r="N211">
        <f t="shared" si="14"/>
        <v>120000</v>
      </c>
      <c r="O211" s="2">
        <f t="shared" si="15"/>
        <v>0.2</v>
      </c>
    </row>
    <row r="212" spans="1:15">
      <c r="A212" t="s">
        <v>496</v>
      </c>
      <c r="B212" t="s">
        <v>497</v>
      </c>
      <c r="C212" t="s">
        <v>327</v>
      </c>
      <c r="D212" t="s">
        <v>45</v>
      </c>
      <c r="E212" t="s">
        <v>54</v>
      </c>
      <c r="F212">
        <v>1</v>
      </c>
      <c r="G212">
        <v>7000</v>
      </c>
      <c r="H212" t="s">
        <v>25</v>
      </c>
      <c r="I212" t="str">
        <f>_xlfn.XLOOKUP(E212,'Products Master'!A:A,'Products Master'!B:B)</f>
        <v>Accessories</v>
      </c>
      <c r="J212">
        <f>_xlfn.XLOOKUP(E212,'Products Master'!A:A,'Products Master'!C:C)</f>
        <v>5000</v>
      </c>
      <c r="K212" t="str">
        <f>_xlfn.XLOOKUP(E212,'Products Master'!A:A,'Products Master'!D:D)</f>
        <v>Sony</v>
      </c>
      <c r="L212">
        <f t="shared" si="12"/>
        <v>7000</v>
      </c>
      <c r="M212">
        <f t="shared" si="13"/>
        <v>5000</v>
      </c>
      <c r="N212">
        <f t="shared" si="14"/>
        <v>2000</v>
      </c>
      <c r="O212" s="2">
        <f t="shared" si="15"/>
        <v>0.2857142857142857</v>
      </c>
    </row>
    <row r="213" spans="1:15">
      <c r="A213" t="s">
        <v>498</v>
      </c>
      <c r="B213" t="s">
        <v>499</v>
      </c>
      <c r="C213" t="s">
        <v>167</v>
      </c>
      <c r="D213" t="s">
        <v>29</v>
      </c>
      <c r="E213" t="s">
        <v>54</v>
      </c>
      <c r="F213">
        <v>1</v>
      </c>
      <c r="G213">
        <v>7000</v>
      </c>
      <c r="H213" t="s">
        <v>41</v>
      </c>
      <c r="I213" t="str">
        <f>_xlfn.XLOOKUP(E213,'Products Master'!A:A,'Products Master'!B:B)</f>
        <v>Accessories</v>
      </c>
      <c r="J213">
        <f>_xlfn.XLOOKUP(E213,'Products Master'!A:A,'Products Master'!C:C)</f>
        <v>5000</v>
      </c>
      <c r="K213" t="str">
        <f>_xlfn.XLOOKUP(E213,'Products Master'!A:A,'Products Master'!D:D)</f>
        <v>Sony</v>
      </c>
      <c r="L213">
        <f t="shared" si="12"/>
        <v>7000</v>
      </c>
      <c r="M213">
        <f t="shared" si="13"/>
        <v>5000</v>
      </c>
      <c r="N213">
        <f t="shared" si="14"/>
        <v>2000</v>
      </c>
      <c r="O213" s="2">
        <f t="shared" si="15"/>
        <v>0.2857142857142857</v>
      </c>
    </row>
    <row r="214" spans="1:15">
      <c r="A214" t="s">
        <v>500</v>
      </c>
      <c r="B214" t="s">
        <v>501</v>
      </c>
      <c r="C214" t="s">
        <v>502</v>
      </c>
      <c r="D214" t="s">
        <v>17</v>
      </c>
      <c r="E214" t="s">
        <v>40</v>
      </c>
      <c r="F214">
        <v>2</v>
      </c>
      <c r="G214">
        <v>60000</v>
      </c>
      <c r="H214" t="s">
        <v>25</v>
      </c>
      <c r="I214" t="str">
        <f>_xlfn.XLOOKUP(E214,'Products Master'!A:A,'Products Master'!B:B)</f>
        <v>Electronics</v>
      </c>
      <c r="J214">
        <f>_xlfn.XLOOKUP(E214,'Products Master'!A:A,'Products Master'!C:C)</f>
        <v>50000</v>
      </c>
      <c r="K214" t="str">
        <f>_xlfn.XLOOKUP(E214,'Products Master'!A:A,'Products Master'!D:D)</f>
        <v>LG</v>
      </c>
      <c r="L214">
        <f t="shared" si="12"/>
        <v>120000</v>
      </c>
      <c r="M214">
        <f t="shared" si="13"/>
        <v>100000</v>
      </c>
      <c r="N214">
        <f t="shared" si="14"/>
        <v>20000</v>
      </c>
      <c r="O214" s="2">
        <f t="shared" si="15"/>
        <v>0.16666666666666666</v>
      </c>
    </row>
    <row r="215" spans="1:15">
      <c r="A215" t="s">
        <v>503</v>
      </c>
      <c r="B215" t="s">
        <v>504</v>
      </c>
      <c r="C215" t="s">
        <v>294</v>
      </c>
      <c r="D215" t="s">
        <v>45</v>
      </c>
      <c r="E215" t="s">
        <v>12</v>
      </c>
      <c r="F215">
        <v>4</v>
      </c>
      <c r="G215">
        <v>150000</v>
      </c>
      <c r="H215" t="s">
        <v>30</v>
      </c>
      <c r="I215" t="str">
        <f>_xlfn.XLOOKUP(E215,'Products Master'!A:A,'Products Master'!B:B)</f>
        <v>Electronics</v>
      </c>
      <c r="J215">
        <f>_xlfn.XLOOKUP(E215,'Products Master'!A:A,'Products Master'!C:C)</f>
        <v>120000</v>
      </c>
      <c r="K215" t="str">
        <f>_xlfn.XLOOKUP(E215,'Products Master'!A:A,'Products Master'!D:D)</f>
        <v>Dell</v>
      </c>
      <c r="L215">
        <f t="shared" si="12"/>
        <v>600000</v>
      </c>
      <c r="M215">
        <f t="shared" si="13"/>
        <v>480000</v>
      </c>
      <c r="N215">
        <f t="shared" si="14"/>
        <v>120000</v>
      </c>
      <c r="O215" s="2">
        <f t="shared" si="15"/>
        <v>0.2</v>
      </c>
    </row>
    <row r="216" spans="1:15">
      <c r="A216" t="s">
        <v>505</v>
      </c>
      <c r="B216" t="s">
        <v>506</v>
      </c>
      <c r="C216" t="s">
        <v>16</v>
      </c>
      <c r="D216" t="s">
        <v>17</v>
      </c>
      <c r="E216" t="s">
        <v>12</v>
      </c>
      <c r="F216">
        <v>1</v>
      </c>
      <c r="G216">
        <v>150000</v>
      </c>
      <c r="H216" t="s">
        <v>95</v>
      </c>
      <c r="I216" t="str">
        <f>_xlfn.XLOOKUP(E216,'Products Master'!A:A,'Products Master'!B:B)</f>
        <v>Electronics</v>
      </c>
      <c r="J216">
        <f>_xlfn.XLOOKUP(E216,'Products Master'!A:A,'Products Master'!C:C)</f>
        <v>120000</v>
      </c>
      <c r="K216" t="str">
        <f>_xlfn.XLOOKUP(E216,'Products Master'!A:A,'Products Master'!D:D)</f>
        <v>Dell</v>
      </c>
      <c r="L216">
        <f t="shared" si="12"/>
        <v>150000</v>
      </c>
      <c r="M216">
        <f t="shared" si="13"/>
        <v>120000</v>
      </c>
      <c r="N216">
        <f t="shared" si="14"/>
        <v>30000</v>
      </c>
      <c r="O216" s="2">
        <f t="shared" si="15"/>
        <v>0.2</v>
      </c>
    </row>
    <row r="217" spans="1:15">
      <c r="A217" t="s">
        <v>507</v>
      </c>
      <c r="B217" t="s">
        <v>265</v>
      </c>
      <c r="C217" t="s">
        <v>254</v>
      </c>
      <c r="D217" t="s">
        <v>29</v>
      </c>
      <c r="E217" t="s">
        <v>124</v>
      </c>
      <c r="F217">
        <v>1</v>
      </c>
      <c r="G217">
        <v>18000</v>
      </c>
      <c r="H217" t="s">
        <v>66</v>
      </c>
      <c r="I217" t="str">
        <f>_xlfn.XLOOKUP(E217,'Products Master'!A:A,'Products Master'!B:B)</f>
        <v>Storage</v>
      </c>
      <c r="J217">
        <f>_xlfn.XLOOKUP(E217,'Products Master'!A:A,'Products Master'!C:C)</f>
        <v>12000</v>
      </c>
      <c r="K217" t="str">
        <f>_xlfn.XLOOKUP(E217,'Products Master'!A:A,'Products Master'!D:D)</f>
        <v>Kingston</v>
      </c>
      <c r="L217">
        <f t="shared" si="12"/>
        <v>18000</v>
      </c>
      <c r="M217">
        <f t="shared" si="13"/>
        <v>12000</v>
      </c>
      <c r="N217">
        <f t="shared" si="14"/>
        <v>6000</v>
      </c>
      <c r="O217" s="2">
        <f t="shared" si="15"/>
        <v>0.33333333333333331</v>
      </c>
    </row>
    <row r="218" spans="1:15">
      <c r="A218" t="s">
        <v>508</v>
      </c>
      <c r="B218" t="s">
        <v>509</v>
      </c>
      <c r="C218" t="s">
        <v>10</v>
      </c>
      <c r="D218" t="s">
        <v>29</v>
      </c>
      <c r="E218" t="s">
        <v>12</v>
      </c>
      <c r="F218">
        <v>5</v>
      </c>
      <c r="G218">
        <v>150000</v>
      </c>
      <c r="H218" t="s">
        <v>25</v>
      </c>
      <c r="I218" t="str">
        <f>_xlfn.XLOOKUP(E218,'Products Master'!A:A,'Products Master'!B:B)</f>
        <v>Electronics</v>
      </c>
      <c r="J218">
        <f>_xlfn.XLOOKUP(E218,'Products Master'!A:A,'Products Master'!C:C)</f>
        <v>120000</v>
      </c>
      <c r="K218" t="str">
        <f>_xlfn.XLOOKUP(E218,'Products Master'!A:A,'Products Master'!D:D)</f>
        <v>Dell</v>
      </c>
      <c r="L218">
        <f t="shared" si="12"/>
        <v>750000</v>
      </c>
      <c r="M218">
        <f t="shared" si="13"/>
        <v>600000</v>
      </c>
      <c r="N218">
        <f t="shared" si="14"/>
        <v>150000</v>
      </c>
      <c r="O218" s="2">
        <f t="shared" si="15"/>
        <v>0.2</v>
      </c>
    </row>
    <row r="219" spans="1:15">
      <c r="A219" t="s">
        <v>510</v>
      </c>
      <c r="B219" t="s">
        <v>495</v>
      </c>
      <c r="C219" t="s">
        <v>502</v>
      </c>
      <c r="D219" t="s">
        <v>115</v>
      </c>
      <c r="E219" t="s">
        <v>18</v>
      </c>
      <c r="F219">
        <v>1</v>
      </c>
      <c r="G219">
        <v>45000</v>
      </c>
      <c r="H219" t="s">
        <v>50</v>
      </c>
      <c r="I219" t="str">
        <f>_xlfn.XLOOKUP(E219,'Products Master'!A:A,'Products Master'!B:B)</f>
        <v>Electronics</v>
      </c>
      <c r="J219">
        <f>_xlfn.XLOOKUP(E219,'Products Master'!A:A,'Products Master'!C:C)</f>
        <v>35000</v>
      </c>
      <c r="K219" t="str">
        <f>_xlfn.XLOOKUP(E219,'Products Master'!A:A,'Products Master'!D:D)</f>
        <v>HP</v>
      </c>
      <c r="L219">
        <f t="shared" si="12"/>
        <v>45000</v>
      </c>
      <c r="M219">
        <f t="shared" si="13"/>
        <v>35000</v>
      </c>
      <c r="N219">
        <f t="shared" si="14"/>
        <v>10000</v>
      </c>
      <c r="O219" s="2">
        <f t="shared" si="15"/>
        <v>0.22222222222222221</v>
      </c>
    </row>
    <row r="220" spans="1:15">
      <c r="A220" t="s">
        <v>511</v>
      </c>
      <c r="B220" t="s">
        <v>512</v>
      </c>
      <c r="C220" t="s">
        <v>137</v>
      </c>
      <c r="D220" t="s">
        <v>17</v>
      </c>
      <c r="E220" t="s">
        <v>179</v>
      </c>
      <c r="F220">
        <v>5</v>
      </c>
      <c r="G220">
        <v>80000</v>
      </c>
      <c r="H220" t="s">
        <v>41</v>
      </c>
      <c r="I220" t="str">
        <f>_xlfn.XLOOKUP(E220,'Products Master'!A:A,'Products Master'!B:B)</f>
        <v>Electronics</v>
      </c>
      <c r="J220">
        <f>_xlfn.XLOOKUP(E220,'Products Master'!A:A,'Products Master'!C:C)</f>
        <v>65000</v>
      </c>
      <c r="K220" t="str">
        <f>_xlfn.XLOOKUP(E220,'Products Master'!A:A,'Products Master'!D:D)</f>
        <v>Samsung</v>
      </c>
      <c r="L220">
        <f t="shared" si="12"/>
        <v>400000</v>
      </c>
      <c r="M220">
        <f t="shared" si="13"/>
        <v>325000</v>
      </c>
      <c r="N220">
        <f t="shared" si="14"/>
        <v>75000</v>
      </c>
      <c r="O220" s="2">
        <f t="shared" si="15"/>
        <v>0.1875</v>
      </c>
    </row>
    <row r="221" spans="1:15">
      <c r="A221" t="s">
        <v>513</v>
      </c>
      <c r="B221" t="s">
        <v>514</v>
      </c>
      <c r="C221" t="s">
        <v>394</v>
      </c>
      <c r="D221" t="s">
        <v>11</v>
      </c>
      <c r="E221" t="s">
        <v>179</v>
      </c>
      <c r="F221">
        <v>2</v>
      </c>
      <c r="G221">
        <v>80000</v>
      </c>
      <c r="H221" t="s">
        <v>13</v>
      </c>
      <c r="I221" t="str">
        <f>_xlfn.XLOOKUP(E221,'Products Master'!A:A,'Products Master'!B:B)</f>
        <v>Electronics</v>
      </c>
      <c r="J221">
        <f>_xlfn.XLOOKUP(E221,'Products Master'!A:A,'Products Master'!C:C)</f>
        <v>65000</v>
      </c>
      <c r="K221" t="str">
        <f>_xlfn.XLOOKUP(E221,'Products Master'!A:A,'Products Master'!D:D)</f>
        <v>Samsung</v>
      </c>
      <c r="L221">
        <f t="shared" si="12"/>
        <v>160000</v>
      </c>
      <c r="M221">
        <f t="shared" si="13"/>
        <v>130000</v>
      </c>
      <c r="N221">
        <f t="shared" si="14"/>
        <v>30000</v>
      </c>
      <c r="O221" s="2">
        <f t="shared" si="15"/>
        <v>0.1875</v>
      </c>
    </row>
    <row r="222" spans="1:15">
      <c r="A222" t="s">
        <v>515</v>
      </c>
      <c r="B222" t="s">
        <v>516</v>
      </c>
      <c r="C222" t="s">
        <v>470</v>
      </c>
      <c r="D222" t="s">
        <v>17</v>
      </c>
      <c r="E222" t="s">
        <v>179</v>
      </c>
      <c r="F222">
        <v>2</v>
      </c>
      <c r="G222">
        <v>80000</v>
      </c>
      <c r="H222" t="s">
        <v>25</v>
      </c>
      <c r="I222" t="str">
        <f>_xlfn.XLOOKUP(E222,'Products Master'!A:A,'Products Master'!B:B)</f>
        <v>Electronics</v>
      </c>
      <c r="J222">
        <f>_xlfn.XLOOKUP(E222,'Products Master'!A:A,'Products Master'!C:C)</f>
        <v>65000</v>
      </c>
      <c r="K222" t="str">
        <f>_xlfn.XLOOKUP(E222,'Products Master'!A:A,'Products Master'!D:D)</f>
        <v>Samsung</v>
      </c>
      <c r="L222">
        <f t="shared" si="12"/>
        <v>160000</v>
      </c>
      <c r="M222">
        <f t="shared" si="13"/>
        <v>130000</v>
      </c>
      <c r="N222">
        <f t="shared" si="14"/>
        <v>30000</v>
      </c>
      <c r="O222" s="2">
        <f t="shared" si="15"/>
        <v>0.1875</v>
      </c>
    </row>
    <row r="223" spans="1:15">
      <c r="A223" t="s">
        <v>517</v>
      </c>
      <c r="B223" t="s">
        <v>324</v>
      </c>
      <c r="C223" t="s">
        <v>189</v>
      </c>
      <c r="D223" t="s">
        <v>23</v>
      </c>
      <c r="E223" t="s">
        <v>18</v>
      </c>
      <c r="F223">
        <v>1</v>
      </c>
      <c r="G223">
        <v>45000</v>
      </c>
      <c r="H223" t="s">
        <v>116</v>
      </c>
      <c r="I223" t="str">
        <f>_xlfn.XLOOKUP(E223,'Products Master'!A:A,'Products Master'!B:B)</f>
        <v>Electronics</v>
      </c>
      <c r="J223">
        <f>_xlfn.XLOOKUP(E223,'Products Master'!A:A,'Products Master'!C:C)</f>
        <v>35000</v>
      </c>
      <c r="K223" t="str">
        <f>_xlfn.XLOOKUP(E223,'Products Master'!A:A,'Products Master'!D:D)</f>
        <v>HP</v>
      </c>
      <c r="L223">
        <f t="shared" si="12"/>
        <v>45000</v>
      </c>
      <c r="M223">
        <f t="shared" si="13"/>
        <v>35000</v>
      </c>
      <c r="N223">
        <f t="shared" si="14"/>
        <v>10000</v>
      </c>
      <c r="O223" s="2">
        <f t="shared" si="15"/>
        <v>0.22222222222222221</v>
      </c>
    </row>
    <row r="224" spans="1:15">
      <c r="A224" t="s">
        <v>518</v>
      </c>
      <c r="B224" t="s">
        <v>512</v>
      </c>
      <c r="C224" t="s">
        <v>162</v>
      </c>
      <c r="D224" t="s">
        <v>23</v>
      </c>
      <c r="E224" t="s">
        <v>124</v>
      </c>
      <c r="F224">
        <v>3</v>
      </c>
      <c r="G224">
        <v>18000</v>
      </c>
      <c r="H224" t="s">
        <v>66</v>
      </c>
      <c r="I224" t="str">
        <f>_xlfn.XLOOKUP(E224,'Products Master'!A:A,'Products Master'!B:B)</f>
        <v>Storage</v>
      </c>
      <c r="J224">
        <f>_xlfn.XLOOKUP(E224,'Products Master'!A:A,'Products Master'!C:C)</f>
        <v>12000</v>
      </c>
      <c r="K224" t="str">
        <f>_xlfn.XLOOKUP(E224,'Products Master'!A:A,'Products Master'!D:D)</f>
        <v>Kingston</v>
      </c>
      <c r="L224">
        <f t="shared" si="12"/>
        <v>54000</v>
      </c>
      <c r="M224">
        <f t="shared" si="13"/>
        <v>36000</v>
      </c>
      <c r="N224">
        <f t="shared" si="14"/>
        <v>18000</v>
      </c>
      <c r="O224" s="2">
        <f t="shared" si="15"/>
        <v>0.33333333333333331</v>
      </c>
    </row>
    <row r="225" spans="1:15">
      <c r="A225" t="s">
        <v>519</v>
      </c>
      <c r="B225" t="s">
        <v>520</v>
      </c>
      <c r="C225" t="s">
        <v>114</v>
      </c>
      <c r="D225" t="s">
        <v>111</v>
      </c>
      <c r="E225" t="s">
        <v>40</v>
      </c>
      <c r="F225">
        <v>4</v>
      </c>
      <c r="G225">
        <v>60000</v>
      </c>
      <c r="H225" t="s">
        <v>36</v>
      </c>
      <c r="I225" t="str">
        <f>_xlfn.XLOOKUP(E225,'Products Master'!A:A,'Products Master'!B:B)</f>
        <v>Electronics</v>
      </c>
      <c r="J225">
        <f>_xlfn.XLOOKUP(E225,'Products Master'!A:A,'Products Master'!C:C)</f>
        <v>50000</v>
      </c>
      <c r="K225" t="str">
        <f>_xlfn.XLOOKUP(E225,'Products Master'!A:A,'Products Master'!D:D)</f>
        <v>LG</v>
      </c>
      <c r="L225">
        <f t="shared" si="12"/>
        <v>240000</v>
      </c>
      <c r="M225">
        <f t="shared" si="13"/>
        <v>200000</v>
      </c>
      <c r="N225">
        <f t="shared" si="14"/>
        <v>40000</v>
      </c>
      <c r="O225" s="2">
        <f t="shared" si="15"/>
        <v>0.16666666666666666</v>
      </c>
    </row>
    <row r="226" spans="1:15">
      <c r="A226" t="s">
        <v>521</v>
      </c>
      <c r="B226" t="s">
        <v>79</v>
      </c>
      <c r="C226" t="s">
        <v>57</v>
      </c>
      <c r="D226" t="s">
        <v>23</v>
      </c>
      <c r="E226" t="s">
        <v>99</v>
      </c>
      <c r="F226">
        <v>2</v>
      </c>
      <c r="G226">
        <v>5000</v>
      </c>
      <c r="H226" t="s">
        <v>36</v>
      </c>
      <c r="I226" t="str">
        <f>_xlfn.XLOOKUP(E226,'Products Master'!A:A,'Products Master'!B:B)</f>
        <v>Accessories</v>
      </c>
      <c r="J226">
        <f>_xlfn.XLOOKUP(E226,'Products Master'!A:A,'Products Master'!C:C)</f>
        <v>3500</v>
      </c>
      <c r="K226" t="str">
        <f>_xlfn.XLOOKUP(E226,'Products Master'!A:A,'Products Master'!D:D)</f>
        <v>Logitech</v>
      </c>
      <c r="L226">
        <f t="shared" si="12"/>
        <v>10000</v>
      </c>
      <c r="M226">
        <f t="shared" si="13"/>
        <v>7000</v>
      </c>
      <c r="N226">
        <f t="shared" si="14"/>
        <v>3000</v>
      </c>
      <c r="O226" s="2">
        <f t="shared" si="15"/>
        <v>0.3</v>
      </c>
    </row>
    <row r="227" spans="1:15">
      <c r="A227" t="s">
        <v>522</v>
      </c>
      <c r="B227" t="s">
        <v>523</v>
      </c>
      <c r="C227" t="s">
        <v>285</v>
      </c>
      <c r="D227" t="s">
        <v>111</v>
      </c>
      <c r="E227" t="s">
        <v>99</v>
      </c>
      <c r="F227">
        <v>1</v>
      </c>
      <c r="G227">
        <v>5000</v>
      </c>
      <c r="H227" t="s">
        <v>66</v>
      </c>
      <c r="I227" t="str">
        <f>_xlfn.XLOOKUP(E227,'Products Master'!A:A,'Products Master'!B:B)</f>
        <v>Accessories</v>
      </c>
      <c r="J227">
        <f>_xlfn.XLOOKUP(E227,'Products Master'!A:A,'Products Master'!C:C)</f>
        <v>3500</v>
      </c>
      <c r="K227" t="str">
        <f>_xlfn.XLOOKUP(E227,'Products Master'!A:A,'Products Master'!D:D)</f>
        <v>Logitech</v>
      </c>
      <c r="L227">
        <f t="shared" si="12"/>
        <v>5000</v>
      </c>
      <c r="M227">
        <f t="shared" si="13"/>
        <v>3500</v>
      </c>
      <c r="N227">
        <f t="shared" si="14"/>
        <v>1500</v>
      </c>
      <c r="O227" s="2">
        <f t="shared" si="15"/>
        <v>0.3</v>
      </c>
    </row>
    <row r="228" spans="1:15">
      <c r="A228" t="s">
        <v>524</v>
      </c>
      <c r="B228" t="s">
        <v>525</v>
      </c>
      <c r="C228" t="s">
        <v>526</v>
      </c>
      <c r="D228" t="s">
        <v>111</v>
      </c>
      <c r="E228" t="s">
        <v>18</v>
      </c>
      <c r="F228">
        <v>2</v>
      </c>
      <c r="G228">
        <v>45000</v>
      </c>
      <c r="H228" t="s">
        <v>66</v>
      </c>
      <c r="I228" t="str">
        <f>_xlfn.XLOOKUP(E228,'Products Master'!A:A,'Products Master'!B:B)</f>
        <v>Electronics</v>
      </c>
      <c r="J228">
        <f>_xlfn.XLOOKUP(E228,'Products Master'!A:A,'Products Master'!C:C)</f>
        <v>35000</v>
      </c>
      <c r="K228" t="str">
        <f>_xlfn.XLOOKUP(E228,'Products Master'!A:A,'Products Master'!D:D)</f>
        <v>HP</v>
      </c>
      <c r="L228">
        <f t="shared" si="12"/>
        <v>90000</v>
      </c>
      <c r="M228">
        <f t="shared" si="13"/>
        <v>70000</v>
      </c>
      <c r="N228">
        <f t="shared" si="14"/>
        <v>20000</v>
      </c>
      <c r="O228" s="2">
        <f t="shared" si="15"/>
        <v>0.22222222222222221</v>
      </c>
    </row>
    <row r="229" spans="1:15">
      <c r="A229" t="s">
        <v>527</v>
      </c>
      <c r="B229" t="s">
        <v>528</v>
      </c>
      <c r="C229" t="s">
        <v>28</v>
      </c>
      <c r="D229" t="s">
        <v>23</v>
      </c>
      <c r="E229" t="s">
        <v>40</v>
      </c>
      <c r="F229">
        <v>2</v>
      </c>
      <c r="G229">
        <v>60000</v>
      </c>
      <c r="H229" t="s">
        <v>50</v>
      </c>
      <c r="I229" t="str">
        <f>_xlfn.XLOOKUP(E229,'Products Master'!A:A,'Products Master'!B:B)</f>
        <v>Electronics</v>
      </c>
      <c r="J229">
        <f>_xlfn.XLOOKUP(E229,'Products Master'!A:A,'Products Master'!C:C)</f>
        <v>50000</v>
      </c>
      <c r="K229" t="str">
        <f>_xlfn.XLOOKUP(E229,'Products Master'!A:A,'Products Master'!D:D)</f>
        <v>LG</v>
      </c>
      <c r="L229">
        <f t="shared" si="12"/>
        <v>120000</v>
      </c>
      <c r="M229">
        <f t="shared" si="13"/>
        <v>100000</v>
      </c>
      <c r="N229">
        <f t="shared" si="14"/>
        <v>20000</v>
      </c>
      <c r="O229" s="2">
        <f t="shared" si="15"/>
        <v>0.16666666666666666</v>
      </c>
    </row>
    <row r="230" spans="1:15">
      <c r="A230" t="s">
        <v>529</v>
      </c>
      <c r="B230" t="s">
        <v>530</v>
      </c>
      <c r="C230" t="s">
        <v>327</v>
      </c>
      <c r="D230" t="s">
        <v>111</v>
      </c>
      <c r="E230" t="s">
        <v>54</v>
      </c>
      <c r="F230">
        <v>4</v>
      </c>
      <c r="G230">
        <v>7000</v>
      </c>
      <c r="H230" t="s">
        <v>66</v>
      </c>
      <c r="I230" t="str">
        <f>_xlfn.XLOOKUP(E230,'Products Master'!A:A,'Products Master'!B:B)</f>
        <v>Accessories</v>
      </c>
      <c r="J230">
        <f>_xlfn.XLOOKUP(E230,'Products Master'!A:A,'Products Master'!C:C)</f>
        <v>5000</v>
      </c>
      <c r="K230" t="str">
        <f>_xlfn.XLOOKUP(E230,'Products Master'!A:A,'Products Master'!D:D)</f>
        <v>Sony</v>
      </c>
      <c r="L230">
        <f t="shared" si="12"/>
        <v>28000</v>
      </c>
      <c r="M230">
        <f t="shared" si="13"/>
        <v>20000</v>
      </c>
      <c r="N230">
        <f t="shared" si="14"/>
        <v>8000</v>
      </c>
      <c r="O230" s="2">
        <f t="shared" si="15"/>
        <v>0.2857142857142857</v>
      </c>
    </row>
    <row r="231" spans="1:15">
      <c r="A231" t="s">
        <v>531</v>
      </c>
      <c r="B231" t="s">
        <v>532</v>
      </c>
      <c r="C231" t="s">
        <v>481</v>
      </c>
      <c r="D231" t="s">
        <v>23</v>
      </c>
      <c r="E231" t="s">
        <v>12</v>
      </c>
      <c r="F231">
        <v>3</v>
      </c>
      <c r="G231">
        <v>150000</v>
      </c>
      <c r="H231" t="s">
        <v>30</v>
      </c>
      <c r="I231" t="str">
        <f>_xlfn.XLOOKUP(E231,'Products Master'!A:A,'Products Master'!B:B)</f>
        <v>Electronics</v>
      </c>
      <c r="J231">
        <f>_xlfn.XLOOKUP(E231,'Products Master'!A:A,'Products Master'!C:C)</f>
        <v>120000</v>
      </c>
      <c r="K231" t="str">
        <f>_xlfn.XLOOKUP(E231,'Products Master'!A:A,'Products Master'!D:D)</f>
        <v>Dell</v>
      </c>
      <c r="L231">
        <f t="shared" si="12"/>
        <v>450000</v>
      </c>
      <c r="M231">
        <f t="shared" si="13"/>
        <v>360000</v>
      </c>
      <c r="N231">
        <f t="shared" si="14"/>
        <v>90000</v>
      </c>
      <c r="O231" s="2">
        <f t="shared" si="15"/>
        <v>0.2</v>
      </c>
    </row>
    <row r="232" spans="1:15">
      <c r="A232" t="s">
        <v>533</v>
      </c>
      <c r="B232" t="s">
        <v>530</v>
      </c>
      <c r="C232" t="s">
        <v>476</v>
      </c>
      <c r="D232" t="s">
        <v>45</v>
      </c>
      <c r="E232" t="s">
        <v>99</v>
      </c>
      <c r="F232">
        <v>5</v>
      </c>
      <c r="G232">
        <v>5000</v>
      </c>
      <c r="H232" t="s">
        <v>19</v>
      </c>
      <c r="I232" t="str">
        <f>_xlfn.XLOOKUP(E232,'Products Master'!A:A,'Products Master'!B:B)</f>
        <v>Accessories</v>
      </c>
      <c r="J232">
        <f>_xlfn.XLOOKUP(E232,'Products Master'!A:A,'Products Master'!C:C)</f>
        <v>3500</v>
      </c>
      <c r="K232" t="str">
        <f>_xlfn.XLOOKUP(E232,'Products Master'!A:A,'Products Master'!D:D)</f>
        <v>Logitech</v>
      </c>
      <c r="L232">
        <f t="shared" si="12"/>
        <v>25000</v>
      </c>
      <c r="M232">
        <f t="shared" si="13"/>
        <v>17500</v>
      </c>
      <c r="N232">
        <f t="shared" si="14"/>
        <v>7500</v>
      </c>
      <c r="O232" s="2">
        <f t="shared" si="15"/>
        <v>0.3</v>
      </c>
    </row>
    <row r="233" spans="1:15">
      <c r="A233" t="s">
        <v>534</v>
      </c>
      <c r="B233" t="s">
        <v>523</v>
      </c>
      <c r="C233" t="s">
        <v>254</v>
      </c>
      <c r="D233" t="s">
        <v>23</v>
      </c>
      <c r="E233" t="s">
        <v>124</v>
      </c>
      <c r="F233">
        <v>5</v>
      </c>
      <c r="G233">
        <v>18000</v>
      </c>
      <c r="H233" t="s">
        <v>36</v>
      </c>
      <c r="I233" t="str">
        <f>_xlfn.XLOOKUP(E233,'Products Master'!A:A,'Products Master'!B:B)</f>
        <v>Storage</v>
      </c>
      <c r="J233">
        <f>_xlfn.XLOOKUP(E233,'Products Master'!A:A,'Products Master'!C:C)</f>
        <v>12000</v>
      </c>
      <c r="K233" t="str">
        <f>_xlfn.XLOOKUP(E233,'Products Master'!A:A,'Products Master'!D:D)</f>
        <v>Kingston</v>
      </c>
      <c r="L233">
        <f t="shared" si="12"/>
        <v>90000</v>
      </c>
      <c r="M233">
        <f t="shared" si="13"/>
        <v>60000</v>
      </c>
      <c r="N233">
        <f t="shared" si="14"/>
        <v>30000</v>
      </c>
      <c r="O233" s="2">
        <f t="shared" si="15"/>
        <v>0.33333333333333331</v>
      </c>
    </row>
    <row r="234" spans="1:15">
      <c r="A234" t="s">
        <v>535</v>
      </c>
      <c r="B234" t="s">
        <v>417</v>
      </c>
      <c r="C234" t="s">
        <v>536</v>
      </c>
      <c r="D234" t="s">
        <v>34</v>
      </c>
      <c r="E234" t="s">
        <v>24</v>
      </c>
      <c r="F234">
        <v>1</v>
      </c>
      <c r="G234">
        <v>2500</v>
      </c>
      <c r="H234" t="s">
        <v>30</v>
      </c>
      <c r="I234" t="str">
        <f>_xlfn.XLOOKUP(E234,'Products Master'!A:A,'Products Master'!B:B)</f>
        <v>Accessories</v>
      </c>
      <c r="J234">
        <f>_xlfn.XLOOKUP(E234,'Products Master'!A:A,'Products Master'!C:C)</f>
        <v>1500</v>
      </c>
      <c r="K234" t="str">
        <f>_xlfn.XLOOKUP(E234,'Products Master'!A:A,'Products Master'!D:D)</f>
        <v>Logitech</v>
      </c>
      <c r="L234">
        <f t="shared" si="12"/>
        <v>2500</v>
      </c>
      <c r="M234">
        <f t="shared" si="13"/>
        <v>1500</v>
      </c>
      <c r="N234">
        <f t="shared" si="14"/>
        <v>1000</v>
      </c>
      <c r="O234" s="2">
        <f t="shared" si="15"/>
        <v>0.4</v>
      </c>
    </row>
    <row r="235" spans="1:15">
      <c r="A235" t="s">
        <v>537</v>
      </c>
      <c r="B235" t="s">
        <v>21</v>
      </c>
      <c r="C235" t="s">
        <v>285</v>
      </c>
      <c r="D235" t="s">
        <v>17</v>
      </c>
      <c r="E235" t="s">
        <v>18</v>
      </c>
      <c r="F235">
        <v>4</v>
      </c>
      <c r="G235">
        <v>45000</v>
      </c>
      <c r="H235" t="s">
        <v>25</v>
      </c>
      <c r="I235" t="str">
        <f>_xlfn.XLOOKUP(E235,'Products Master'!A:A,'Products Master'!B:B)</f>
        <v>Electronics</v>
      </c>
      <c r="J235">
        <f>_xlfn.XLOOKUP(E235,'Products Master'!A:A,'Products Master'!C:C)</f>
        <v>35000</v>
      </c>
      <c r="K235" t="str">
        <f>_xlfn.XLOOKUP(E235,'Products Master'!A:A,'Products Master'!D:D)</f>
        <v>HP</v>
      </c>
      <c r="L235">
        <f t="shared" si="12"/>
        <v>180000</v>
      </c>
      <c r="M235">
        <f t="shared" si="13"/>
        <v>140000</v>
      </c>
      <c r="N235">
        <f t="shared" si="14"/>
        <v>40000</v>
      </c>
      <c r="O235" s="2">
        <f t="shared" si="15"/>
        <v>0.22222222222222221</v>
      </c>
    </row>
    <row r="236" spans="1:15">
      <c r="A236" t="s">
        <v>538</v>
      </c>
      <c r="B236" t="s">
        <v>499</v>
      </c>
      <c r="C236" t="s">
        <v>539</v>
      </c>
      <c r="D236" t="s">
        <v>23</v>
      </c>
      <c r="E236" t="s">
        <v>12</v>
      </c>
      <c r="F236">
        <v>4</v>
      </c>
      <c r="G236">
        <v>150000</v>
      </c>
      <c r="H236" t="s">
        <v>95</v>
      </c>
      <c r="I236" t="str">
        <f>_xlfn.XLOOKUP(E236,'Products Master'!A:A,'Products Master'!B:B)</f>
        <v>Electronics</v>
      </c>
      <c r="J236">
        <f>_xlfn.XLOOKUP(E236,'Products Master'!A:A,'Products Master'!C:C)</f>
        <v>120000</v>
      </c>
      <c r="K236" t="str">
        <f>_xlfn.XLOOKUP(E236,'Products Master'!A:A,'Products Master'!D:D)</f>
        <v>Dell</v>
      </c>
      <c r="L236">
        <f t="shared" si="12"/>
        <v>600000</v>
      </c>
      <c r="M236">
        <f t="shared" si="13"/>
        <v>480000</v>
      </c>
      <c r="N236">
        <f t="shared" si="14"/>
        <v>120000</v>
      </c>
      <c r="O236" s="2">
        <f t="shared" si="15"/>
        <v>0.2</v>
      </c>
    </row>
    <row r="237" spans="1:15">
      <c r="A237" t="s">
        <v>540</v>
      </c>
      <c r="B237" t="s">
        <v>541</v>
      </c>
      <c r="C237" t="s">
        <v>370</v>
      </c>
      <c r="D237" t="s">
        <v>23</v>
      </c>
      <c r="E237" t="s">
        <v>24</v>
      </c>
      <c r="F237">
        <v>3</v>
      </c>
      <c r="G237">
        <v>2500</v>
      </c>
      <c r="H237" t="s">
        <v>36</v>
      </c>
      <c r="I237" t="str">
        <f>_xlfn.XLOOKUP(E237,'Products Master'!A:A,'Products Master'!B:B)</f>
        <v>Accessories</v>
      </c>
      <c r="J237">
        <f>_xlfn.XLOOKUP(E237,'Products Master'!A:A,'Products Master'!C:C)</f>
        <v>1500</v>
      </c>
      <c r="K237" t="str">
        <f>_xlfn.XLOOKUP(E237,'Products Master'!A:A,'Products Master'!D:D)</f>
        <v>Logitech</v>
      </c>
      <c r="L237">
        <f t="shared" si="12"/>
        <v>7500</v>
      </c>
      <c r="M237">
        <f t="shared" si="13"/>
        <v>4500</v>
      </c>
      <c r="N237">
        <f t="shared" si="14"/>
        <v>3000</v>
      </c>
      <c r="O237" s="2">
        <f t="shared" si="15"/>
        <v>0.4</v>
      </c>
    </row>
    <row r="238" spans="1:15">
      <c r="A238" t="s">
        <v>542</v>
      </c>
      <c r="B238" t="s">
        <v>62</v>
      </c>
      <c r="C238" t="s">
        <v>543</v>
      </c>
      <c r="D238" t="s">
        <v>115</v>
      </c>
      <c r="E238" t="s">
        <v>49</v>
      </c>
      <c r="F238">
        <v>1</v>
      </c>
      <c r="G238">
        <v>9500</v>
      </c>
      <c r="H238" t="s">
        <v>116</v>
      </c>
      <c r="I238" t="str">
        <f>_xlfn.XLOOKUP(E238,'Products Master'!A:A,'Products Master'!B:B)</f>
        <v>Accessories</v>
      </c>
      <c r="J238">
        <f>_xlfn.XLOOKUP(E238,'Products Master'!A:A,'Products Master'!C:C)</f>
        <v>7000</v>
      </c>
      <c r="K238" t="str">
        <f>_xlfn.XLOOKUP(E238,'Products Master'!A:A,'Products Master'!D:D)</f>
        <v>Logitech</v>
      </c>
      <c r="L238">
        <f t="shared" si="12"/>
        <v>9500</v>
      </c>
      <c r="M238">
        <f t="shared" si="13"/>
        <v>7000</v>
      </c>
      <c r="N238">
        <f t="shared" si="14"/>
        <v>2500</v>
      </c>
      <c r="O238" s="2">
        <f t="shared" si="15"/>
        <v>0.26315789473684209</v>
      </c>
    </row>
    <row r="239" spans="1:15">
      <c r="A239" t="s">
        <v>544</v>
      </c>
      <c r="B239" t="s">
        <v>402</v>
      </c>
      <c r="C239" t="s">
        <v>230</v>
      </c>
      <c r="D239" t="s">
        <v>17</v>
      </c>
      <c r="E239" t="s">
        <v>99</v>
      </c>
      <c r="F239">
        <v>3</v>
      </c>
      <c r="G239">
        <v>5000</v>
      </c>
      <c r="H239" t="s">
        <v>66</v>
      </c>
      <c r="I239" t="str">
        <f>_xlfn.XLOOKUP(E239,'Products Master'!A:A,'Products Master'!B:B)</f>
        <v>Accessories</v>
      </c>
      <c r="J239">
        <f>_xlfn.XLOOKUP(E239,'Products Master'!A:A,'Products Master'!C:C)</f>
        <v>3500</v>
      </c>
      <c r="K239" t="str">
        <f>_xlfn.XLOOKUP(E239,'Products Master'!A:A,'Products Master'!D:D)</f>
        <v>Logitech</v>
      </c>
      <c r="L239">
        <f t="shared" si="12"/>
        <v>15000</v>
      </c>
      <c r="M239">
        <f t="shared" si="13"/>
        <v>10500</v>
      </c>
      <c r="N239">
        <f t="shared" si="14"/>
        <v>4500</v>
      </c>
      <c r="O239" s="2">
        <f t="shared" si="15"/>
        <v>0.3</v>
      </c>
    </row>
    <row r="240" spans="1:15">
      <c r="A240" t="s">
        <v>545</v>
      </c>
      <c r="B240" t="s">
        <v>541</v>
      </c>
      <c r="C240" t="s">
        <v>134</v>
      </c>
      <c r="D240" t="s">
        <v>111</v>
      </c>
      <c r="E240" t="s">
        <v>99</v>
      </c>
      <c r="F240">
        <v>3</v>
      </c>
      <c r="G240">
        <v>5000</v>
      </c>
      <c r="H240" t="s">
        <v>36</v>
      </c>
      <c r="I240" t="str">
        <f>_xlfn.XLOOKUP(E240,'Products Master'!A:A,'Products Master'!B:B)</f>
        <v>Accessories</v>
      </c>
      <c r="J240">
        <f>_xlfn.XLOOKUP(E240,'Products Master'!A:A,'Products Master'!C:C)</f>
        <v>3500</v>
      </c>
      <c r="K240" t="str">
        <f>_xlfn.XLOOKUP(E240,'Products Master'!A:A,'Products Master'!D:D)</f>
        <v>Logitech</v>
      </c>
      <c r="L240">
        <f t="shared" si="12"/>
        <v>15000</v>
      </c>
      <c r="M240">
        <f t="shared" si="13"/>
        <v>10500</v>
      </c>
      <c r="N240">
        <f t="shared" si="14"/>
        <v>4500</v>
      </c>
      <c r="O240" s="2">
        <f t="shared" si="15"/>
        <v>0.3</v>
      </c>
    </row>
    <row r="241" spans="1:15">
      <c r="A241" t="s">
        <v>546</v>
      </c>
      <c r="B241" t="s">
        <v>547</v>
      </c>
      <c r="C241" t="s">
        <v>114</v>
      </c>
      <c r="D241" t="s">
        <v>23</v>
      </c>
      <c r="E241" t="s">
        <v>35</v>
      </c>
      <c r="F241">
        <v>1</v>
      </c>
      <c r="G241">
        <v>2000</v>
      </c>
      <c r="H241" t="s">
        <v>116</v>
      </c>
      <c r="I241" t="str">
        <f>_xlfn.XLOOKUP(E241,'Products Master'!A:A,'Products Master'!B:B)</f>
        <v>Storage</v>
      </c>
      <c r="J241">
        <f>_xlfn.XLOOKUP(E241,'Products Master'!A:A,'Products Master'!C:C)</f>
        <v>1200</v>
      </c>
      <c r="K241" t="str">
        <f>_xlfn.XLOOKUP(E241,'Products Master'!A:A,'Products Master'!D:D)</f>
        <v>SanDisk</v>
      </c>
      <c r="L241">
        <f t="shared" si="12"/>
        <v>2000</v>
      </c>
      <c r="M241">
        <f t="shared" si="13"/>
        <v>1200</v>
      </c>
      <c r="N241">
        <f t="shared" si="14"/>
        <v>800</v>
      </c>
      <c r="O241" s="2">
        <f t="shared" si="15"/>
        <v>0.4</v>
      </c>
    </row>
    <row r="242" spans="1:15">
      <c r="A242" t="s">
        <v>548</v>
      </c>
      <c r="B242" t="s">
        <v>549</v>
      </c>
      <c r="C242" t="s">
        <v>400</v>
      </c>
      <c r="D242" t="s">
        <v>111</v>
      </c>
      <c r="E242" t="s">
        <v>35</v>
      </c>
      <c r="F242">
        <v>1</v>
      </c>
      <c r="G242">
        <v>2000</v>
      </c>
      <c r="H242" t="s">
        <v>95</v>
      </c>
      <c r="I242" t="str">
        <f>_xlfn.XLOOKUP(E242,'Products Master'!A:A,'Products Master'!B:B)</f>
        <v>Storage</v>
      </c>
      <c r="J242">
        <f>_xlfn.XLOOKUP(E242,'Products Master'!A:A,'Products Master'!C:C)</f>
        <v>1200</v>
      </c>
      <c r="K242" t="str">
        <f>_xlfn.XLOOKUP(E242,'Products Master'!A:A,'Products Master'!D:D)</f>
        <v>SanDisk</v>
      </c>
      <c r="L242">
        <f t="shared" si="12"/>
        <v>2000</v>
      </c>
      <c r="M242">
        <f t="shared" si="13"/>
        <v>1200</v>
      </c>
      <c r="N242">
        <f t="shared" si="14"/>
        <v>800</v>
      </c>
      <c r="O242" s="2">
        <f t="shared" si="15"/>
        <v>0.4</v>
      </c>
    </row>
    <row r="243" spans="1:15">
      <c r="A243" t="s">
        <v>550</v>
      </c>
      <c r="B243" t="s">
        <v>551</v>
      </c>
      <c r="C243" t="s">
        <v>543</v>
      </c>
      <c r="D243" t="s">
        <v>115</v>
      </c>
      <c r="E243" t="s">
        <v>18</v>
      </c>
      <c r="F243">
        <v>1</v>
      </c>
      <c r="G243">
        <v>45000</v>
      </c>
      <c r="H243" t="s">
        <v>116</v>
      </c>
      <c r="I243" t="str">
        <f>_xlfn.XLOOKUP(E243,'Products Master'!A:A,'Products Master'!B:B)</f>
        <v>Electronics</v>
      </c>
      <c r="J243">
        <f>_xlfn.XLOOKUP(E243,'Products Master'!A:A,'Products Master'!C:C)</f>
        <v>35000</v>
      </c>
      <c r="K243" t="str">
        <f>_xlfn.XLOOKUP(E243,'Products Master'!A:A,'Products Master'!D:D)</f>
        <v>HP</v>
      </c>
      <c r="L243">
        <f t="shared" si="12"/>
        <v>45000</v>
      </c>
      <c r="M243">
        <f t="shared" si="13"/>
        <v>35000</v>
      </c>
      <c r="N243">
        <f t="shared" si="14"/>
        <v>10000</v>
      </c>
      <c r="O243" s="2">
        <f t="shared" si="15"/>
        <v>0.22222222222222221</v>
      </c>
    </row>
    <row r="244" spans="1:15">
      <c r="A244" t="s">
        <v>552</v>
      </c>
      <c r="B244" t="s">
        <v>553</v>
      </c>
      <c r="C244" t="s">
        <v>230</v>
      </c>
      <c r="D244" t="s">
        <v>111</v>
      </c>
      <c r="E244" t="s">
        <v>35</v>
      </c>
      <c r="F244">
        <v>1</v>
      </c>
      <c r="G244">
        <v>2000</v>
      </c>
      <c r="H244" t="s">
        <v>13</v>
      </c>
      <c r="I244" t="str">
        <f>_xlfn.XLOOKUP(E244,'Products Master'!A:A,'Products Master'!B:B)</f>
        <v>Storage</v>
      </c>
      <c r="J244">
        <f>_xlfn.XLOOKUP(E244,'Products Master'!A:A,'Products Master'!C:C)</f>
        <v>1200</v>
      </c>
      <c r="K244" t="str">
        <f>_xlfn.XLOOKUP(E244,'Products Master'!A:A,'Products Master'!D:D)</f>
        <v>SanDisk</v>
      </c>
      <c r="L244">
        <f t="shared" si="12"/>
        <v>2000</v>
      </c>
      <c r="M244">
        <f t="shared" si="13"/>
        <v>1200</v>
      </c>
      <c r="N244">
        <f t="shared" si="14"/>
        <v>800</v>
      </c>
      <c r="O244" s="2">
        <f t="shared" si="15"/>
        <v>0.4</v>
      </c>
    </row>
    <row r="245" spans="1:15">
      <c r="A245" t="s">
        <v>554</v>
      </c>
      <c r="B245" t="s">
        <v>555</v>
      </c>
      <c r="C245" t="s">
        <v>176</v>
      </c>
      <c r="D245" t="s">
        <v>111</v>
      </c>
      <c r="E245" t="s">
        <v>40</v>
      </c>
      <c r="F245">
        <v>5</v>
      </c>
      <c r="G245">
        <v>60000</v>
      </c>
      <c r="H245" t="s">
        <v>95</v>
      </c>
      <c r="I245" t="str">
        <f>_xlfn.XLOOKUP(E245,'Products Master'!A:A,'Products Master'!B:B)</f>
        <v>Electronics</v>
      </c>
      <c r="J245">
        <f>_xlfn.XLOOKUP(E245,'Products Master'!A:A,'Products Master'!C:C)</f>
        <v>50000</v>
      </c>
      <c r="K245" t="str">
        <f>_xlfn.XLOOKUP(E245,'Products Master'!A:A,'Products Master'!D:D)</f>
        <v>LG</v>
      </c>
      <c r="L245">
        <f t="shared" si="12"/>
        <v>300000</v>
      </c>
      <c r="M245">
        <f t="shared" si="13"/>
        <v>250000</v>
      </c>
      <c r="N245">
        <f t="shared" si="14"/>
        <v>50000</v>
      </c>
      <c r="O245" s="2">
        <f t="shared" si="15"/>
        <v>0.16666666666666666</v>
      </c>
    </row>
    <row r="246" spans="1:15">
      <c r="A246" t="s">
        <v>556</v>
      </c>
      <c r="B246" t="s">
        <v>133</v>
      </c>
      <c r="C246" t="s">
        <v>403</v>
      </c>
      <c r="D246" t="s">
        <v>17</v>
      </c>
      <c r="E246" t="s">
        <v>179</v>
      </c>
      <c r="F246">
        <v>5</v>
      </c>
      <c r="G246">
        <v>80000</v>
      </c>
      <c r="H246" t="s">
        <v>66</v>
      </c>
      <c r="I246" t="str">
        <f>_xlfn.XLOOKUP(E246,'Products Master'!A:A,'Products Master'!B:B)</f>
        <v>Electronics</v>
      </c>
      <c r="J246">
        <f>_xlfn.XLOOKUP(E246,'Products Master'!A:A,'Products Master'!C:C)</f>
        <v>65000</v>
      </c>
      <c r="K246" t="str">
        <f>_xlfn.XLOOKUP(E246,'Products Master'!A:A,'Products Master'!D:D)</f>
        <v>Samsung</v>
      </c>
      <c r="L246">
        <f t="shared" si="12"/>
        <v>400000</v>
      </c>
      <c r="M246">
        <f t="shared" si="13"/>
        <v>325000</v>
      </c>
      <c r="N246">
        <f t="shared" si="14"/>
        <v>75000</v>
      </c>
      <c r="O246" s="2">
        <f t="shared" si="15"/>
        <v>0.1875</v>
      </c>
    </row>
    <row r="247" spans="1:15">
      <c r="A247" t="s">
        <v>557</v>
      </c>
      <c r="B247" t="s">
        <v>558</v>
      </c>
      <c r="C247" t="s">
        <v>254</v>
      </c>
      <c r="D247" t="s">
        <v>11</v>
      </c>
      <c r="E247" t="s">
        <v>12</v>
      </c>
      <c r="F247">
        <v>3</v>
      </c>
      <c r="G247">
        <v>150000</v>
      </c>
      <c r="H247" t="s">
        <v>95</v>
      </c>
      <c r="I247" t="str">
        <f>_xlfn.XLOOKUP(E247,'Products Master'!A:A,'Products Master'!B:B)</f>
        <v>Electronics</v>
      </c>
      <c r="J247">
        <f>_xlfn.XLOOKUP(E247,'Products Master'!A:A,'Products Master'!C:C)</f>
        <v>120000</v>
      </c>
      <c r="K247" t="str">
        <f>_xlfn.XLOOKUP(E247,'Products Master'!A:A,'Products Master'!D:D)</f>
        <v>Dell</v>
      </c>
      <c r="L247">
        <f t="shared" si="12"/>
        <v>450000</v>
      </c>
      <c r="M247">
        <f t="shared" si="13"/>
        <v>360000</v>
      </c>
      <c r="N247">
        <f t="shared" si="14"/>
        <v>90000</v>
      </c>
      <c r="O247" s="2">
        <f t="shared" si="15"/>
        <v>0.2</v>
      </c>
    </row>
    <row r="248" spans="1:15">
      <c r="A248" t="s">
        <v>559</v>
      </c>
      <c r="B248" t="s">
        <v>249</v>
      </c>
      <c r="C248" t="s">
        <v>137</v>
      </c>
      <c r="D248" t="s">
        <v>29</v>
      </c>
      <c r="E248" t="s">
        <v>35</v>
      </c>
      <c r="F248">
        <v>4</v>
      </c>
      <c r="G248">
        <v>2000</v>
      </c>
      <c r="H248" t="s">
        <v>41</v>
      </c>
      <c r="I248" t="str">
        <f>_xlfn.XLOOKUP(E248,'Products Master'!A:A,'Products Master'!B:B)</f>
        <v>Storage</v>
      </c>
      <c r="J248">
        <f>_xlfn.XLOOKUP(E248,'Products Master'!A:A,'Products Master'!C:C)</f>
        <v>1200</v>
      </c>
      <c r="K248" t="str">
        <f>_xlfn.XLOOKUP(E248,'Products Master'!A:A,'Products Master'!D:D)</f>
        <v>SanDisk</v>
      </c>
      <c r="L248">
        <f t="shared" si="12"/>
        <v>8000</v>
      </c>
      <c r="M248">
        <f t="shared" si="13"/>
        <v>4800</v>
      </c>
      <c r="N248">
        <f t="shared" si="14"/>
        <v>3200</v>
      </c>
      <c r="O248" s="2">
        <f t="shared" si="15"/>
        <v>0.4</v>
      </c>
    </row>
    <row r="249" spans="1:15">
      <c r="A249" t="s">
        <v>560</v>
      </c>
      <c r="B249" t="s">
        <v>561</v>
      </c>
      <c r="C249" t="s">
        <v>107</v>
      </c>
      <c r="D249" t="s">
        <v>115</v>
      </c>
      <c r="E249" t="s">
        <v>12</v>
      </c>
      <c r="F249">
        <v>1</v>
      </c>
      <c r="G249">
        <v>150000</v>
      </c>
      <c r="H249" t="s">
        <v>25</v>
      </c>
      <c r="I249" t="str">
        <f>_xlfn.XLOOKUP(E249,'Products Master'!A:A,'Products Master'!B:B)</f>
        <v>Electronics</v>
      </c>
      <c r="J249">
        <f>_xlfn.XLOOKUP(E249,'Products Master'!A:A,'Products Master'!C:C)</f>
        <v>120000</v>
      </c>
      <c r="K249" t="str">
        <f>_xlfn.XLOOKUP(E249,'Products Master'!A:A,'Products Master'!D:D)</f>
        <v>Dell</v>
      </c>
      <c r="L249">
        <f t="shared" si="12"/>
        <v>150000</v>
      </c>
      <c r="M249">
        <f t="shared" si="13"/>
        <v>120000</v>
      </c>
      <c r="N249">
        <f t="shared" si="14"/>
        <v>30000</v>
      </c>
      <c r="O249" s="2">
        <f t="shared" si="15"/>
        <v>0.2</v>
      </c>
    </row>
    <row r="250" spans="1:15">
      <c r="A250" t="s">
        <v>562</v>
      </c>
      <c r="B250" t="s">
        <v>444</v>
      </c>
      <c r="C250" t="s">
        <v>104</v>
      </c>
      <c r="D250" t="s">
        <v>111</v>
      </c>
      <c r="E250" t="s">
        <v>124</v>
      </c>
      <c r="F250">
        <v>5</v>
      </c>
      <c r="G250">
        <v>18000</v>
      </c>
      <c r="H250" t="s">
        <v>41</v>
      </c>
      <c r="I250" t="str">
        <f>_xlfn.XLOOKUP(E250,'Products Master'!A:A,'Products Master'!B:B)</f>
        <v>Storage</v>
      </c>
      <c r="J250">
        <f>_xlfn.XLOOKUP(E250,'Products Master'!A:A,'Products Master'!C:C)</f>
        <v>12000</v>
      </c>
      <c r="K250" t="str">
        <f>_xlfn.XLOOKUP(E250,'Products Master'!A:A,'Products Master'!D:D)</f>
        <v>Kingston</v>
      </c>
      <c r="L250">
        <f t="shared" si="12"/>
        <v>90000</v>
      </c>
      <c r="M250">
        <f t="shared" si="13"/>
        <v>60000</v>
      </c>
      <c r="N250">
        <f t="shared" si="14"/>
        <v>30000</v>
      </c>
      <c r="O250" s="2">
        <f t="shared" si="15"/>
        <v>0.33333333333333331</v>
      </c>
    </row>
    <row r="251" spans="1:15">
      <c r="A251" t="s">
        <v>563</v>
      </c>
      <c r="B251" t="s">
        <v>350</v>
      </c>
      <c r="C251" t="s">
        <v>173</v>
      </c>
      <c r="D251" t="s">
        <v>17</v>
      </c>
      <c r="E251" t="s">
        <v>179</v>
      </c>
      <c r="F251">
        <v>1</v>
      </c>
      <c r="G251">
        <v>80000</v>
      </c>
      <c r="H251" t="s">
        <v>25</v>
      </c>
      <c r="I251" t="str">
        <f>_xlfn.XLOOKUP(E251,'Products Master'!A:A,'Products Master'!B:B)</f>
        <v>Electronics</v>
      </c>
      <c r="J251">
        <f>_xlfn.XLOOKUP(E251,'Products Master'!A:A,'Products Master'!C:C)</f>
        <v>65000</v>
      </c>
      <c r="K251" t="str">
        <f>_xlfn.XLOOKUP(E251,'Products Master'!A:A,'Products Master'!D:D)</f>
        <v>Samsung</v>
      </c>
      <c r="L251">
        <f t="shared" si="12"/>
        <v>80000</v>
      </c>
      <c r="M251">
        <f t="shared" si="13"/>
        <v>65000</v>
      </c>
      <c r="N251">
        <f t="shared" si="14"/>
        <v>15000</v>
      </c>
      <c r="O251" s="2">
        <f t="shared" si="15"/>
        <v>0.1875</v>
      </c>
    </row>
    <row r="252" spans="1:15">
      <c r="A252" t="s">
        <v>564</v>
      </c>
      <c r="B252" t="s">
        <v>565</v>
      </c>
      <c r="C252" t="s">
        <v>226</v>
      </c>
      <c r="D252" t="s">
        <v>11</v>
      </c>
      <c r="E252" t="s">
        <v>99</v>
      </c>
      <c r="F252">
        <v>1</v>
      </c>
      <c r="G252">
        <v>5000</v>
      </c>
      <c r="H252" t="s">
        <v>25</v>
      </c>
      <c r="I252" t="str">
        <f>_xlfn.XLOOKUP(E252,'Products Master'!A:A,'Products Master'!B:B)</f>
        <v>Accessories</v>
      </c>
      <c r="J252">
        <f>_xlfn.XLOOKUP(E252,'Products Master'!A:A,'Products Master'!C:C)</f>
        <v>3500</v>
      </c>
      <c r="K252" t="str">
        <f>_xlfn.XLOOKUP(E252,'Products Master'!A:A,'Products Master'!D:D)</f>
        <v>Logitech</v>
      </c>
      <c r="L252">
        <f t="shared" si="12"/>
        <v>5000</v>
      </c>
      <c r="M252">
        <f t="shared" si="13"/>
        <v>3500</v>
      </c>
      <c r="N252">
        <f t="shared" si="14"/>
        <v>1500</v>
      </c>
      <c r="O252" s="2">
        <f t="shared" si="15"/>
        <v>0.3</v>
      </c>
    </row>
    <row r="253" spans="1:15">
      <c r="A253" t="s">
        <v>566</v>
      </c>
      <c r="B253" t="s">
        <v>151</v>
      </c>
      <c r="C253" t="s">
        <v>543</v>
      </c>
      <c r="D253" t="s">
        <v>45</v>
      </c>
      <c r="E253" t="s">
        <v>49</v>
      </c>
      <c r="F253">
        <v>2</v>
      </c>
      <c r="G253">
        <v>9500</v>
      </c>
      <c r="H253" t="s">
        <v>66</v>
      </c>
      <c r="I253" t="str">
        <f>_xlfn.XLOOKUP(E253,'Products Master'!A:A,'Products Master'!B:B)</f>
        <v>Accessories</v>
      </c>
      <c r="J253">
        <f>_xlfn.XLOOKUP(E253,'Products Master'!A:A,'Products Master'!C:C)</f>
        <v>7000</v>
      </c>
      <c r="K253" t="str">
        <f>_xlfn.XLOOKUP(E253,'Products Master'!A:A,'Products Master'!D:D)</f>
        <v>Logitech</v>
      </c>
      <c r="L253">
        <f t="shared" si="12"/>
        <v>19000</v>
      </c>
      <c r="M253">
        <f t="shared" si="13"/>
        <v>14000</v>
      </c>
      <c r="N253">
        <f t="shared" si="14"/>
        <v>5000</v>
      </c>
      <c r="O253" s="2">
        <f t="shared" si="15"/>
        <v>0.26315789473684209</v>
      </c>
    </row>
    <row r="254" spans="1:15">
      <c r="A254" t="s">
        <v>567</v>
      </c>
      <c r="B254" t="s">
        <v>458</v>
      </c>
      <c r="C254" t="s">
        <v>568</v>
      </c>
      <c r="D254" t="s">
        <v>17</v>
      </c>
      <c r="E254" t="s">
        <v>124</v>
      </c>
      <c r="F254">
        <v>1</v>
      </c>
      <c r="G254">
        <v>18000</v>
      </c>
      <c r="H254" t="s">
        <v>66</v>
      </c>
      <c r="I254" t="str">
        <f>_xlfn.XLOOKUP(E254,'Products Master'!A:A,'Products Master'!B:B)</f>
        <v>Storage</v>
      </c>
      <c r="J254">
        <f>_xlfn.XLOOKUP(E254,'Products Master'!A:A,'Products Master'!C:C)</f>
        <v>12000</v>
      </c>
      <c r="K254" t="str">
        <f>_xlfn.XLOOKUP(E254,'Products Master'!A:A,'Products Master'!D:D)</f>
        <v>Kingston</v>
      </c>
      <c r="L254">
        <f t="shared" si="12"/>
        <v>18000</v>
      </c>
      <c r="M254">
        <f t="shared" si="13"/>
        <v>12000</v>
      </c>
      <c r="N254">
        <f t="shared" si="14"/>
        <v>6000</v>
      </c>
      <c r="O254" s="2">
        <f t="shared" si="15"/>
        <v>0.33333333333333331</v>
      </c>
    </row>
    <row r="255" spans="1:15">
      <c r="A255" t="s">
        <v>569</v>
      </c>
      <c r="B255" t="s">
        <v>139</v>
      </c>
      <c r="C255" t="s">
        <v>466</v>
      </c>
      <c r="D255" t="s">
        <v>34</v>
      </c>
      <c r="E255" t="s">
        <v>54</v>
      </c>
      <c r="F255">
        <v>3</v>
      </c>
      <c r="G255">
        <v>7000</v>
      </c>
      <c r="H255" t="s">
        <v>95</v>
      </c>
      <c r="I255" t="str">
        <f>_xlfn.XLOOKUP(E255,'Products Master'!A:A,'Products Master'!B:B)</f>
        <v>Accessories</v>
      </c>
      <c r="J255">
        <f>_xlfn.XLOOKUP(E255,'Products Master'!A:A,'Products Master'!C:C)</f>
        <v>5000</v>
      </c>
      <c r="K255" t="str">
        <f>_xlfn.XLOOKUP(E255,'Products Master'!A:A,'Products Master'!D:D)</f>
        <v>Sony</v>
      </c>
      <c r="L255">
        <f t="shared" si="12"/>
        <v>21000</v>
      </c>
      <c r="M255">
        <f t="shared" si="13"/>
        <v>15000</v>
      </c>
      <c r="N255">
        <f t="shared" si="14"/>
        <v>6000</v>
      </c>
      <c r="O255" s="2">
        <f t="shared" si="15"/>
        <v>0.2857142857142857</v>
      </c>
    </row>
    <row r="256" spans="1:15">
      <c r="A256" t="s">
        <v>570</v>
      </c>
      <c r="B256" t="s">
        <v>571</v>
      </c>
      <c r="C256" t="s">
        <v>466</v>
      </c>
      <c r="D256" t="s">
        <v>23</v>
      </c>
      <c r="E256" t="s">
        <v>179</v>
      </c>
      <c r="F256">
        <v>1</v>
      </c>
      <c r="G256">
        <v>80000</v>
      </c>
      <c r="H256" t="s">
        <v>30</v>
      </c>
      <c r="I256" t="str">
        <f>_xlfn.XLOOKUP(E256,'Products Master'!A:A,'Products Master'!B:B)</f>
        <v>Electronics</v>
      </c>
      <c r="J256">
        <f>_xlfn.XLOOKUP(E256,'Products Master'!A:A,'Products Master'!C:C)</f>
        <v>65000</v>
      </c>
      <c r="K256" t="str">
        <f>_xlfn.XLOOKUP(E256,'Products Master'!A:A,'Products Master'!D:D)</f>
        <v>Samsung</v>
      </c>
      <c r="L256">
        <f t="shared" si="12"/>
        <v>80000</v>
      </c>
      <c r="M256">
        <f t="shared" si="13"/>
        <v>65000</v>
      </c>
      <c r="N256">
        <f t="shared" si="14"/>
        <v>15000</v>
      </c>
      <c r="O256" s="2">
        <f t="shared" si="15"/>
        <v>0.1875</v>
      </c>
    </row>
    <row r="257" spans="1:15">
      <c r="A257" t="s">
        <v>572</v>
      </c>
      <c r="B257" t="s">
        <v>573</v>
      </c>
      <c r="C257" t="s">
        <v>288</v>
      </c>
      <c r="D257" t="s">
        <v>111</v>
      </c>
      <c r="E257" t="s">
        <v>124</v>
      </c>
      <c r="F257">
        <v>2</v>
      </c>
      <c r="G257">
        <v>18000</v>
      </c>
      <c r="H257" t="s">
        <v>41</v>
      </c>
      <c r="I257" t="str">
        <f>_xlfn.XLOOKUP(E257,'Products Master'!A:A,'Products Master'!B:B)</f>
        <v>Storage</v>
      </c>
      <c r="J257">
        <f>_xlfn.XLOOKUP(E257,'Products Master'!A:A,'Products Master'!C:C)</f>
        <v>12000</v>
      </c>
      <c r="K257" t="str">
        <f>_xlfn.XLOOKUP(E257,'Products Master'!A:A,'Products Master'!D:D)</f>
        <v>Kingston</v>
      </c>
      <c r="L257">
        <f t="shared" si="12"/>
        <v>36000</v>
      </c>
      <c r="M257">
        <f t="shared" si="13"/>
        <v>24000</v>
      </c>
      <c r="N257">
        <f t="shared" si="14"/>
        <v>12000</v>
      </c>
      <c r="O257" s="2">
        <f t="shared" si="15"/>
        <v>0.33333333333333331</v>
      </c>
    </row>
    <row r="258" spans="1:15">
      <c r="A258" t="s">
        <v>574</v>
      </c>
      <c r="B258" t="s">
        <v>575</v>
      </c>
      <c r="C258" t="s">
        <v>576</v>
      </c>
      <c r="D258" t="s">
        <v>34</v>
      </c>
      <c r="E258" t="s">
        <v>24</v>
      </c>
      <c r="F258">
        <v>1</v>
      </c>
      <c r="G258">
        <v>2500</v>
      </c>
      <c r="H258" t="s">
        <v>116</v>
      </c>
      <c r="I258" t="str">
        <f>_xlfn.XLOOKUP(E258,'Products Master'!A:A,'Products Master'!B:B)</f>
        <v>Accessories</v>
      </c>
      <c r="J258">
        <f>_xlfn.XLOOKUP(E258,'Products Master'!A:A,'Products Master'!C:C)</f>
        <v>1500</v>
      </c>
      <c r="K258" t="str">
        <f>_xlfn.XLOOKUP(E258,'Products Master'!A:A,'Products Master'!D:D)</f>
        <v>Logitech</v>
      </c>
      <c r="L258">
        <f t="shared" si="12"/>
        <v>2500</v>
      </c>
      <c r="M258">
        <f t="shared" si="13"/>
        <v>1500</v>
      </c>
      <c r="N258">
        <f t="shared" si="14"/>
        <v>1000</v>
      </c>
      <c r="O258" s="2">
        <f t="shared" si="15"/>
        <v>0.4</v>
      </c>
    </row>
    <row r="259" spans="1:15">
      <c r="A259" t="s">
        <v>577</v>
      </c>
      <c r="B259" t="s">
        <v>578</v>
      </c>
      <c r="C259" t="s">
        <v>233</v>
      </c>
      <c r="D259" t="s">
        <v>111</v>
      </c>
      <c r="E259" t="s">
        <v>124</v>
      </c>
      <c r="F259">
        <v>4</v>
      </c>
      <c r="G259">
        <v>18000</v>
      </c>
      <c r="H259" t="s">
        <v>25</v>
      </c>
      <c r="I259" t="str">
        <f>_xlfn.XLOOKUP(E259,'Products Master'!A:A,'Products Master'!B:B)</f>
        <v>Storage</v>
      </c>
      <c r="J259">
        <f>_xlfn.XLOOKUP(E259,'Products Master'!A:A,'Products Master'!C:C)</f>
        <v>12000</v>
      </c>
      <c r="K259" t="str">
        <f>_xlfn.XLOOKUP(E259,'Products Master'!A:A,'Products Master'!D:D)</f>
        <v>Kingston</v>
      </c>
      <c r="L259">
        <f t="shared" ref="L259:L322" si="16">F259*G259</f>
        <v>72000</v>
      </c>
      <c r="M259">
        <f t="shared" ref="M259:M322" si="17">F259*J259</f>
        <v>48000</v>
      </c>
      <c r="N259">
        <f t="shared" ref="N259:N322" si="18">L259-M259</f>
        <v>24000</v>
      </c>
      <c r="O259" s="2">
        <f t="shared" ref="O259:O322" si="19">N259/L259</f>
        <v>0.33333333333333331</v>
      </c>
    </row>
    <row r="260" spans="1:15">
      <c r="A260" t="s">
        <v>579</v>
      </c>
      <c r="B260" t="s">
        <v>580</v>
      </c>
      <c r="C260" t="s">
        <v>147</v>
      </c>
      <c r="D260" t="s">
        <v>17</v>
      </c>
      <c r="E260" t="s">
        <v>54</v>
      </c>
      <c r="F260">
        <v>2</v>
      </c>
      <c r="G260">
        <v>7000</v>
      </c>
      <c r="H260" t="s">
        <v>50</v>
      </c>
      <c r="I260" t="str">
        <f>_xlfn.XLOOKUP(E260,'Products Master'!A:A,'Products Master'!B:B)</f>
        <v>Accessories</v>
      </c>
      <c r="J260">
        <f>_xlfn.XLOOKUP(E260,'Products Master'!A:A,'Products Master'!C:C)</f>
        <v>5000</v>
      </c>
      <c r="K260" t="str">
        <f>_xlfn.XLOOKUP(E260,'Products Master'!A:A,'Products Master'!D:D)</f>
        <v>Sony</v>
      </c>
      <c r="L260">
        <f t="shared" si="16"/>
        <v>14000</v>
      </c>
      <c r="M260">
        <f t="shared" si="17"/>
        <v>10000</v>
      </c>
      <c r="N260">
        <f t="shared" si="18"/>
        <v>4000</v>
      </c>
      <c r="O260" s="2">
        <f t="shared" si="19"/>
        <v>0.2857142857142857</v>
      </c>
    </row>
    <row r="261" spans="1:15">
      <c r="A261" t="s">
        <v>581</v>
      </c>
      <c r="B261" t="s">
        <v>565</v>
      </c>
      <c r="C261" t="s">
        <v>10</v>
      </c>
      <c r="D261" t="s">
        <v>34</v>
      </c>
      <c r="E261" t="s">
        <v>124</v>
      </c>
      <c r="F261">
        <v>2</v>
      </c>
      <c r="G261">
        <v>18000</v>
      </c>
      <c r="H261" t="s">
        <v>50</v>
      </c>
      <c r="I261" t="str">
        <f>_xlfn.XLOOKUP(E261,'Products Master'!A:A,'Products Master'!B:B)</f>
        <v>Storage</v>
      </c>
      <c r="J261">
        <f>_xlfn.XLOOKUP(E261,'Products Master'!A:A,'Products Master'!C:C)</f>
        <v>12000</v>
      </c>
      <c r="K261" t="str">
        <f>_xlfn.XLOOKUP(E261,'Products Master'!A:A,'Products Master'!D:D)</f>
        <v>Kingston</v>
      </c>
      <c r="L261">
        <f t="shared" si="16"/>
        <v>36000</v>
      </c>
      <c r="M261">
        <f t="shared" si="17"/>
        <v>24000</v>
      </c>
      <c r="N261">
        <f t="shared" si="18"/>
        <v>12000</v>
      </c>
      <c r="O261" s="2">
        <f t="shared" si="19"/>
        <v>0.33333333333333331</v>
      </c>
    </row>
    <row r="262" spans="1:15">
      <c r="A262" t="s">
        <v>582</v>
      </c>
      <c r="B262" t="s">
        <v>427</v>
      </c>
      <c r="C262" t="s">
        <v>10</v>
      </c>
      <c r="D262" t="s">
        <v>29</v>
      </c>
      <c r="E262" t="s">
        <v>35</v>
      </c>
      <c r="F262">
        <v>5</v>
      </c>
      <c r="G262">
        <v>2000</v>
      </c>
      <c r="H262" t="s">
        <v>66</v>
      </c>
      <c r="I262" t="str">
        <f>_xlfn.XLOOKUP(E262,'Products Master'!A:A,'Products Master'!B:B)</f>
        <v>Storage</v>
      </c>
      <c r="J262">
        <f>_xlfn.XLOOKUP(E262,'Products Master'!A:A,'Products Master'!C:C)</f>
        <v>1200</v>
      </c>
      <c r="K262" t="str">
        <f>_xlfn.XLOOKUP(E262,'Products Master'!A:A,'Products Master'!D:D)</f>
        <v>SanDisk</v>
      </c>
      <c r="L262">
        <f t="shared" si="16"/>
        <v>10000</v>
      </c>
      <c r="M262">
        <f t="shared" si="17"/>
        <v>6000</v>
      </c>
      <c r="N262">
        <f t="shared" si="18"/>
        <v>4000</v>
      </c>
      <c r="O262" s="2">
        <f t="shared" si="19"/>
        <v>0.4</v>
      </c>
    </row>
    <row r="263" spans="1:15">
      <c r="A263" t="s">
        <v>583</v>
      </c>
      <c r="B263" t="s">
        <v>172</v>
      </c>
      <c r="C263" t="s">
        <v>403</v>
      </c>
      <c r="D263" t="s">
        <v>23</v>
      </c>
      <c r="E263" t="s">
        <v>40</v>
      </c>
      <c r="F263">
        <v>4</v>
      </c>
      <c r="G263">
        <v>60000</v>
      </c>
      <c r="H263" t="s">
        <v>41</v>
      </c>
      <c r="I263" t="str">
        <f>_xlfn.XLOOKUP(E263,'Products Master'!A:A,'Products Master'!B:B)</f>
        <v>Electronics</v>
      </c>
      <c r="J263">
        <f>_xlfn.XLOOKUP(E263,'Products Master'!A:A,'Products Master'!C:C)</f>
        <v>50000</v>
      </c>
      <c r="K263" t="str">
        <f>_xlfn.XLOOKUP(E263,'Products Master'!A:A,'Products Master'!D:D)</f>
        <v>LG</v>
      </c>
      <c r="L263">
        <f t="shared" si="16"/>
        <v>240000</v>
      </c>
      <c r="M263">
        <f t="shared" si="17"/>
        <v>200000</v>
      </c>
      <c r="N263">
        <f t="shared" si="18"/>
        <v>40000</v>
      </c>
      <c r="O263" s="2">
        <f t="shared" si="19"/>
        <v>0.16666666666666666</v>
      </c>
    </row>
    <row r="264" spans="1:15">
      <c r="A264" t="s">
        <v>584</v>
      </c>
      <c r="B264" t="s">
        <v>585</v>
      </c>
      <c r="C264" t="s">
        <v>91</v>
      </c>
      <c r="D264" t="s">
        <v>17</v>
      </c>
      <c r="E264" t="s">
        <v>54</v>
      </c>
      <c r="F264">
        <v>2</v>
      </c>
      <c r="G264">
        <v>7000</v>
      </c>
      <c r="H264" t="s">
        <v>25</v>
      </c>
      <c r="I264" t="str">
        <f>_xlfn.XLOOKUP(E264,'Products Master'!A:A,'Products Master'!B:B)</f>
        <v>Accessories</v>
      </c>
      <c r="J264">
        <f>_xlfn.XLOOKUP(E264,'Products Master'!A:A,'Products Master'!C:C)</f>
        <v>5000</v>
      </c>
      <c r="K264" t="str">
        <f>_xlfn.XLOOKUP(E264,'Products Master'!A:A,'Products Master'!D:D)</f>
        <v>Sony</v>
      </c>
      <c r="L264">
        <f t="shared" si="16"/>
        <v>14000</v>
      </c>
      <c r="M264">
        <f t="shared" si="17"/>
        <v>10000</v>
      </c>
      <c r="N264">
        <f t="shared" si="18"/>
        <v>4000</v>
      </c>
      <c r="O264" s="2">
        <f t="shared" si="19"/>
        <v>0.2857142857142857</v>
      </c>
    </row>
    <row r="265" spans="1:15">
      <c r="A265" t="s">
        <v>586</v>
      </c>
      <c r="B265" t="s">
        <v>366</v>
      </c>
      <c r="C265" t="s">
        <v>491</v>
      </c>
      <c r="D265" t="s">
        <v>29</v>
      </c>
      <c r="E265" t="s">
        <v>49</v>
      </c>
      <c r="F265">
        <v>2</v>
      </c>
      <c r="G265">
        <v>9500</v>
      </c>
      <c r="H265" t="s">
        <v>36</v>
      </c>
      <c r="I265" t="str">
        <f>_xlfn.XLOOKUP(E265,'Products Master'!A:A,'Products Master'!B:B)</f>
        <v>Accessories</v>
      </c>
      <c r="J265">
        <f>_xlfn.XLOOKUP(E265,'Products Master'!A:A,'Products Master'!C:C)</f>
        <v>7000</v>
      </c>
      <c r="K265" t="str">
        <f>_xlfn.XLOOKUP(E265,'Products Master'!A:A,'Products Master'!D:D)</f>
        <v>Logitech</v>
      </c>
      <c r="L265">
        <f t="shared" si="16"/>
        <v>19000</v>
      </c>
      <c r="M265">
        <f t="shared" si="17"/>
        <v>14000</v>
      </c>
      <c r="N265">
        <f t="shared" si="18"/>
        <v>5000</v>
      </c>
      <c r="O265" s="2">
        <f t="shared" si="19"/>
        <v>0.26315789473684209</v>
      </c>
    </row>
    <row r="266" spans="1:15">
      <c r="A266" t="s">
        <v>587</v>
      </c>
      <c r="B266" t="s">
        <v>421</v>
      </c>
      <c r="C266" t="s">
        <v>127</v>
      </c>
      <c r="D266" t="s">
        <v>115</v>
      </c>
      <c r="E266" t="s">
        <v>18</v>
      </c>
      <c r="F266">
        <v>3</v>
      </c>
      <c r="G266">
        <v>45000</v>
      </c>
      <c r="H266" t="s">
        <v>41</v>
      </c>
      <c r="I266" t="str">
        <f>_xlfn.XLOOKUP(E266,'Products Master'!A:A,'Products Master'!B:B)</f>
        <v>Electronics</v>
      </c>
      <c r="J266">
        <f>_xlfn.XLOOKUP(E266,'Products Master'!A:A,'Products Master'!C:C)</f>
        <v>35000</v>
      </c>
      <c r="K266" t="str">
        <f>_xlfn.XLOOKUP(E266,'Products Master'!A:A,'Products Master'!D:D)</f>
        <v>HP</v>
      </c>
      <c r="L266">
        <f t="shared" si="16"/>
        <v>135000</v>
      </c>
      <c r="M266">
        <f t="shared" si="17"/>
        <v>105000</v>
      </c>
      <c r="N266">
        <f t="shared" si="18"/>
        <v>30000</v>
      </c>
      <c r="O266" s="2">
        <f t="shared" si="19"/>
        <v>0.22222222222222221</v>
      </c>
    </row>
    <row r="267" spans="1:15">
      <c r="A267" t="s">
        <v>588</v>
      </c>
      <c r="B267" t="s">
        <v>43</v>
      </c>
      <c r="C267" t="s">
        <v>201</v>
      </c>
      <c r="D267" t="s">
        <v>34</v>
      </c>
      <c r="E267" t="s">
        <v>179</v>
      </c>
      <c r="F267">
        <v>2</v>
      </c>
      <c r="G267">
        <v>80000</v>
      </c>
      <c r="H267" t="s">
        <v>13</v>
      </c>
      <c r="I267" t="str">
        <f>_xlfn.XLOOKUP(E267,'Products Master'!A:A,'Products Master'!B:B)</f>
        <v>Electronics</v>
      </c>
      <c r="J267">
        <f>_xlfn.XLOOKUP(E267,'Products Master'!A:A,'Products Master'!C:C)</f>
        <v>65000</v>
      </c>
      <c r="K267" t="str">
        <f>_xlfn.XLOOKUP(E267,'Products Master'!A:A,'Products Master'!D:D)</f>
        <v>Samsung</v>
      </c>
      <c r="L267">
        <f t="shared" si="16"/>
        <v>160000</v>
      </c>
      <c r="M267">
        <f t="shared" si="17"/>
        <v>130000</v>
      </c>
      <c r="N267">
        <f t="shared" si="18"/>
        <v>30000</v>
      </c>
      <c r="O267" s="2">
        <f t="shared" si="19"/>
        <v>0.1875</v>
      </c>
    </row>
    <row r="268" spans="1:15">
      <c r="A268" t="s">
        <v>589</v>
      </c>
      <c r="B268" t="s">
        <v>590</v>
      </c>
      <c r="C268" t="s">
        <v>470</v>
      </c>
      <c r="D268" t="s">
        <v>11</v>
      </c>
      <c r="E268" t="s">
        <v>54</v>
      </c>
      <c r="F268">
        <v>3</v>
      </c>
      <c r="G268">
        <v>7000</v>
      </c>
      <c r="H268" t="s">
        <v>50</v>
      </c>
      <c r="I268" t="str">
        <f>_xlfn.XLOOKUP(E268,'Products Master'!A:A,'Products Master'!B:B)</f>
        <v>Accessories</v>
      </c>
      <c r="J268">
        <f>_xlfn.XLOOKUP(E268,'Products Master'!A:A,'Products Master'!C:C)</f>
        <v>5000</v>
      </c>
      <c r="K268" t="str">
        <f>_xlfn.XLOOKUP(E268,'Products Master'!A:A,'Products Master'!D:D)</f>
        <v>Sony</v>
      </c>
      <c r="L268">
        <f t="shared" si="16"/>
        <v>21000</v>
      </c>
      <c r="M268">
        <f t="shared" si="17"/>
        <v>15000</v>
      </c>
      <c r="N268">
        <f t="shared" si="18"/>
        <v>6000</v>
      </c>
      <c r="O268" s="2">
        <f t="shared" si="19"/>
        <v>0.2857142857142857</v>
      </c>
    </row>
    <row r="269" spans="1:15">
      <c r="A269" t="s">
        <v>591</v>
      </c>
      <c r="B269" t="s">
        <v>592</v>
      </c>
      <c r="C269" t="s">
        <v>400</v>
      </c>
      <c r="D269" t="s">
        <v>115</v>
      </c>
      <c r="E269" t="s">
        <v>49</v>
      </c>
      <c r="F269">
        <v>4</v>
      </c>
      <c r="G269">
        <v>9500</v>
      </c>
      <c r="H269" t="s">
        <v>50</v>
      </c>
      <c r="I269" t="str">
        <f>_xlfn.XLOOKUP(E269,'Products Master'!A:A,'Products Master'!B:B)</f>
        <v>Accessories</v>
      </c>
      <c r="J269">
        <f>_xlfn.XLOOKUP(E269,'Products Master'!A:A,'Products Master'!C:C)</f>
        <v>7000</v>
      </c>
      <c r="K269" t="str">
        <f>_xlfn.XLOOKUP(E269,'Products Master'!A:A,'Products Master'!D:D)</f>
        <v>Logitech</v>
      </c>
      <c r="L269">
        <f t="shared" si="16"/>
        <v>38000</v>
      </c>
      <c r="M269">
        <f t="shared" si="17"/>
        <v>28000</v>
      </c>
      <c r="N269">
        <f t="shared" si="18"/>
        <v>10000</v>
      </c>
      <c r="O269" s="2">
        <f t="shared" si="19"/>
        <v>0.26315789473684209</v>
      </c>
    </row>
    <row r="270" spans="1:15">
      <c r="A270" t="s">
        <v>593</v>
      </c>
      <c r="B270" t="s">
        <v>93</v>
      </c>
      <c r="C270" t="s">
        <v>314</v>
      </c>
      <c r="D270" t="s">
        <v>11</v>
      </c>
      <c r="E270" t="s">
        <v>24</v>
      </c>
      <c r="F270">
        <v>5</v>
      </c>
      <c r="G270">
        <v>2500</v>
      </c>
      <c r="H270" t="s">
        <v>25</v>
      </c>
      <c r="I270" t="str">
        <f>_xlfn.XLOOKUP(E270,'Products Master'!A:A,'Products Master'!B:B)</f>
        <v>Accessories</v>
      </c>
      <c r="J270">
        <f>_xlfn.XLOOKUP(E270,'Products Master'!A:A,'Products Master'!C:C)</f>
        <v>1500</v>
      </c>
      <c r="K270" t="str">
        <f>_xlfn.XLOOKUP(E270,'Products Master'!A:A,'Products Master'!D:D)</f>
        <v>Logitech</v>
      </c>
      <c r="L270">
        <f t="shared" si="16"/>
        <v>12500</v>
      </c>
      <c r="M270">
        <f t="shared" si="17"/>
        <v>7500</v>
      </c>
      <c r="N270">
        <f t="shared" si="18"/>
        <v>5000</v>
      </c>
      <c r="O270" s="2">
        <f t="shared" si="19"/>
        <v>0.4</v>
      </c>
    </row>
    <row r="271" spans="1:15">
      <c r="A271" t="s">
        <v>594</v>
      </c>
      <c r="B271" t="s">
        <v>339</v>
      </c>
      <c r="C271" t="s">
        <v>254</v>
      </c>
      <c r="D271" t="s">
        <v>17</v>
      </c>
      <c r="E271" t="s">
        <v>35</v>
      </c>
      <c r="F271">
        <v>5</v>
      </c>
      <c r="G271">
        <v>2000</v>
      </c>
      <c r="H271" t="s">
        <v>116</v>
      </c>
      <c r="I271" t="str">
        <f>_xlfn.XLOOKUP(E271,'Products Master'!A:A,'Products Master'!B:B)</f>
        <v>Storage</v>
      </c>
      <c r="J271">
        <f>_xlfn.XLOOKUP(E271,'Products Master'!A:A,'Products Master'!C:C)</f>
        <v>1200</v>
      </c>
      <c r="K271" t="str">
        <f>_xlfn.XLOOKUP(E271,'Products Master'!A:A,'Products Master'!D:D)</f>
        <v>SanDisk</v>
      </c>
      <c r="L271">
        <f t="shared" si="16"/>
        <v>10000</v>
      </c>
      <c r="M271">
        <f t="shared" si="17"/>
        <v>6000</v>
      </c>
      <c r="N271">
        <f t="shared" si="18"/>
        <v>4000</v>
      </c>
      <c r="O271" s="2">
        <f t="shared" si="19"/>
        <v>0.4</v>
      </c>
    </row>
    <row r="272" spans="1:15">
      <c r="A272" t="s">
        <v>595</v>
      </c>
      <c r="B272" t="s">
        <v>596</v>
      </c>
      <c r="C272" t="s">
        <v>147</v>
      </c>
      <c r="D272" t="s">
        <v>34</v>
      </c>
      <c r="E272" t="s">
        <v>12</v>
      </c>
      <c r="F272">
        <v>4</v>
      </c>
      <c r="G272">
        <v>150000</v>
      </c>
      <c r="H272" t="s">
        <v>36</v>
      </c>
      <c r="I272" t="str">
        <f>_xlfn.XLOOKUP(E272,'Products Master'!A:A,'Products Master'!B:B)</f>
        <v>Electronics</v>
      </c>
      <c r="J272">
        <f>_xlfn.XLOOKUP(E272,'Products Master'!A:A,'Products Master'!C:C)</f>
        <v>120000</v>
      </c>
      <c r="K272" t="str">
        <f>_xlfn.XLOOKUP(E272,'Products Master'!A:A,'Products Master'!D:D)</f>
        <v>Dell</v>
      </c>
      <c r="L272">
        <f t="shared" si="16"/>
        <v>600000</v>
      </c>
      <c r="M272">
        <f t="shared" si="17"/>
        <v>480000</v>
      </c>
      <c r="N272">
        <f t="shared" si="18"/>
        <v>120000</v>
      </c>
      <c r="O272" s="2">
        <f t="shared" si="19"/>
        <v>0.2</v>
      </c>
    </row>
    <row r="273" spans="1:15">
      <c r="A273" t="s">
        <v>597</v>
      </c>
      <c r="B273" t="s">
        <v>516</v>
      </c>
      <c r="C273" t="s">
        <v>303</v>
      </c>
      <c r="D273" t="s">
        <v>17</v>
      </c>
      <c r="E273" t="s">
        <v>49</v>
      </c>
      <c r="F273">
        <v>1</v>
      </c>
      <c r="G273">
        <v>9500</v>
      </c>
      <c r="H273" t="s">
        <v>30</v>
      </c>
      <c r="I273" t="str">
        <f>_xlfn.XLOOKUP(E273,'Products Master'!A:A,'Products Master'!B:B)</f>
        <v>Accessories</v>
      </c>
      <c r="J273">
        <f>_xlfn.XLOOKUP(E273,'Products Master'!A:A,'Products Master'!C:C)</f>
        <v>7000</v>
      </c>
      <c r="K273" t="str">
        <f>_xlfn.XLOOKUP(E273,'Products Master'!A:A,'Products Master'!D:D)</f>
        <v>Logitech</v>
      </c>
      <c r="L273">
        <f t="shared" si="16"/>
        <v>9500</v>
      </c>
      <c r="M273">
        <f t="shared" si="17"/>
        <v>7000</v>
      </c>
      <c r="N273">
        <f t="shared" si="18"/>
        <v>2500</v>
      </c>
      <c r="O273" s="2">
        <f t="shared" si="19"/>
        <v>0.26315789473684209</v>
      </c>
    </row>
    <row r="274" spans="1:15">
      <c r="A274" t="s">
        <v>598</v>
      </c>
      <c r="B274" t="s">
        <v>298</v>
      </c>
      <c r="C274" t="s">
        <v>233</v>
      </c>
      <c r="D274" t="s">
        <v>34</v>
      </c>
      <c r="E274" t="s">
        <v>124</v>
      </c>
      <c r="F274">
        <v>2</v>
      </c>
      <c r="G274">
        <v>18000</v>
      </c>
      <c r="H274" t="s">
        <v>50</v>
      </c>
      <c r="I274" t="str">
        <f>_xlfn.XLOOKUP(E274,'Products Master'!A:A,'Products Master'!B:B)</f>
        <v>Storage</v>
      </c>
      <c r="J274">
        <f>_xlfn.XLOOKUP(E274,'Products Master'!A:A,'Products Master'!C:C)</f>
        <v>12000</v>
      </c>
      <c r="K274" t="str">
        <f>_xlfn.XLOOKUP(E274,'Products Master'!A:A,'Products Master'!D:D)</f>
        <v>Kingston</v>
      </c>
      <c r="L274">
        <f t="shared" si="16"/>
        <v>36000</v>
      </c>
      <c r="M274">
        <f t="shared" si="17"/>
        <v>24000</v>
      </c>
      <c r="N274">
        <f t="shared" si="18"/>
        <v>12000</v>
      </c>
      <c r="O274" s="2">
        <f t="shared" si="19"/>
        <v>0.33333333333333331</v>
      </c>
    </row>
    <row r="275" spans="1:15">
      <c r="A275" t="s">
        <v>599</v>
      </c>
      <c r="B275" t="s">
        <v>133</v>
      </c>
      <c r="C275" t="s">
        <v>400</v>
      </c>
      <c r="D275" t="s">
        <v>11</v>
      </c>
      <c r="E275" t="s">
        <v>18</v>
      </c>
      <c r="F275">
        <v>5</v>
      </c>
      <c r="G275">
        <v>45000</v>
      </c>
      <c r="H275" t="s">
        <v>19</v>
      </c>
      <c r="I275" t="str">
        <f>_xlfn.XLOOKUP(E275,'Products Master'!A:A,'Products Master'!B:B)</f>
        <v>Electronics</v>
      </c>
      <c r="J275">
        <f>_xlfn.XLOOKUP(E275,'Products Master'!A:A,'Products Master'!C:C)</f>
        <v>35000</v>
      </c>
      <c r="K275" t="str">
        <f>_xlfn.XLOOKUP(E275,'Products Master'!A:A,'Products Master'!D:D)</f>
        <v>HP</v>
      </c>
      <c r="L275">
        <f t="shared" si="16"/>
        <v>225000</v>
      </c>
      <c r="M275">
        <f t="shared" si="17"/>
        <v>175000</v>
      </c>
      <c r="N275">
        <f t="shared" si="18"/>
        <v>50000</v>
      </c>
      <c r="O275" s="2">
        <f t="shared" si="19"/>
        <v>0.22222222222222221</v>
      </c>
    </row>
    <row r="276" spans="1:15">
      <c r="A276" t="s">
        <v>600</v>
      </c>
      <c r="B276" t="s">
        <v>32</v>
      </c>
      <c r="C276" t="s">
        <v>384</v>
      </c>
      <c r="D276" t="s">
        <v>11</v>
      </c>
      <c r="E276" t="s">
        <v>40</v>
      </c>
      <c r="F276">
        <v>4</v>
      </c>
      <c r="G276">
        <v>60000</v>
      </c>
      <c r="H276" t="s">
        <v>41</v>
      </c>
      <c r="I276" t="str">
        <f>_xlfn.XLOOKUP(E276,'Products Master'!A:A,'Products Master'!B:B)</f>
        <v>Electronics</v>
      </c>
      <c r="J276">
        <f>_xlfn.XLOOKUP(E276,'Products Master'!A:A,'Products Master'!C:C)</f>
        <v>50000</v>
      </c>
      <c r="K276" t="str">
        <f>_xlfn.XLOOKUP(E276,'Products Master'!A:A,'Products Master'!D:D)</f>
        <v>LG</v>
      </c>
      <c r="L276">
        <f t="shared" si="16"/>
        <v>240000</v>
      </c>
      <c r="M276">
        <f t="shared" si="17"/>
        <v>200000</v>
      </c>
      <c r="N276">
        <f t="shared" si="18"/>
        <v>40000</v>
      </c>
      <c r="O276" s="2">
        <f t="shared" si="19"/>
        <v>0.16666666666666666</v>
      </c>
    </row>
    <row r="277" spans="1:15">
      <c r="A277" t="s">
        <v>601</v>
      </c>
      <c r="B277" t="s">
        <v>602</v>
      </c>
      <c r="C277" t="s">
        <v>476</v>
      </c>
      <c r="D277" t="s">
        <v>11</v>
      </c>
      <c r="E277" t="s">
        <v>18</v>
      </c>
      <c r="F277">
        <v>2</v>
      </c>
      <c r="G277">
        <v>45000</v>
      </c>
      <c r="H277" t="s">
        <v>36</v>
      </c>
      <c r="I277" t="str">
        <f>_xlfn.XLOOKUP(E277,'Products Master'!A:A,'Products Master'!B:B)</f>
        <v>Electronics</v>
      </c>
      <c r="J277">
        <f>_xlfn.XLOOKUP(E277,'Products Master'!A:A,'Products Master'!C:C)</f>
        <v>35000</v>
      </c>
      <c r="K277" t="str">
        <f>_xlfn.XLOOKUP(E277,'Products Master'!A:A,'Products Master'!D:D)</f>
        <v>HP</v>
      </c>
      <c r="L277">
        <f t="shared" si="16"/>
        <v>90000</v>
      </c>
      <c r="M277">
        <f t="shared" si="17"/>
        <v>70000</v>
      </c>
      <c r="N277">
        <f t="shared" si="18"/>
        <v>20000</v>
      </c>
      <c r="O277" s="2">
        <f t="shared" si="19"/>
        <v>0.22222222222222221</v>
      </c>
    </row>
    <row r="278" spans="1:15">
      <c r="A278" t="s">
        <v>603</v>
      </c>
      <c r="B278" t="s">
        <v>604</v>
      </c>
      <c r="C278" t="s">
        <v>140</v>
      </c>
      <c r="D278" t="s">
        <v>29</v>
      </c>
      <c r="E278" t="s">
        <v>54</v>
      </c>
      <c r="F278">
        <v>2</v>
      </c>
      <c r="G278">
        <v>7000</v>
      </c>
      <c r="H278" t="s">
        <v>116</v>
      </c>
      <c r="I278" t="str">
        <f>_xlfn.XLOOKUP(E278,'Products Master'!A:A,'Products Master'!B:B)</f>
        <v>Accessories</v>
      </c>
      <c r="J278">
        <f>_xlfn.XLOOKUP(E278,'Products Master'!A:A,'Products Master'!C:C)</f>
        <v>5000</v>
      </c>
      <c r="K278" t="str">
        <f>_xlfn.XLOOKUP(E278,'Products Master'!A:A,'Products Master'!D:D)</f>
        <v>Sony</v>
      </c>
      <c r="L278">
        <f t="shared" si="16"/>
        <v>14000</v>
      </c>
      <c r="M278">
        <f t="shared" si="17"/>
        <v>10000</v>
      </c>
      <c r="N278">
        <f t="shared" si="18"/>
        <v>4000</v>
      </c>
      <c r="O278" s="2">
        <f t="shared" si="19"/>
        <v>0.2857142857142857</v>
      </c>
    </row>
    <row r="279" spans="1:15">
      <c r="A279" t="s">
        <v>605</v>
      </c>
      <c r="B279" t="s">
        <v>606</v>
      </c>
      <c r="C279" t="s">
        <v>156</v>
      </c>
      <c r="D279" t="s">
        <v>29</v>
      </c>
      <c r="E279" t="s">
        <v>35</v>
      </c>
      <c r="F279">
        <v>1</v>
      </c>
      <c r="G279">
        <v>2000</v>
      </c>
      <c r="H279" t="s">
        <v>116</v>
      </c>
      <c r="I279" t="str">
        <f>_xlfn.XLOOKUP(E279,'Products Master'!A:A,'Products Master'!B:B)</f>
        <v>Storage</v>
      </c>
      <c r="J279">
        <f>_xlfn.XLOOKUP(E279,'Products Master'!A:A,'Products Master'!C:C)</f>
        <v>1200</v>
      </c>
      <c r="K279" t="str">
        <f>_xlfn.XLOOKUP(E279,'Products Master'!A:A,'Products Master'!D:D)</f>
        <v>SanDisk</v>
      </c>
      <c r="L279">
        <f t="shared" si="16"/>
        <v>2000</v>
      </c>
      <c r="M279">
        <f t="shared" si="17"/>
        <v>1200</v>
      </c>
      <c r="N279">
        <f t="shared" si="18"/>
        <v>800</v>
      </c>
      <c r="O279" s="2">
        <f t="shared" si="19"/>
        <v>0.4</v>
      </c>
    </row>
    <row r="280" spans="1:15">
      <c r="A280" t="s">
        <v>607</v>
      </c>
      <c r="B280" t="s">
        <v>364</v>
      </c>
      <c r="C280" t="s">
        <v>299</v>
      </c>
      <c r="D280" t="s">
        <v>45</v>
      </c>
      <c r="E280" t="s">
        <v>179</v>
      </c>
      <c r="F280">
        <v>1</v>
      </c>
      <c r="G280">
        <v>80000</v>
      </c>
      <c r="H280" t="s">
        <v>13</v>
      </c>
      <c r="I280" t="str">
        <f>_xlfn.XLOOKUP(E280,'Products Master'!A:A,'Products Master'!B:B)</f>
        <v>Electronics</v>
      </c>
      <c r="J280">
        <f>_xlfn.XLOOKUP(E280,'Products Master'!A:A,'Products Master'!C:C)</f>
        <v>65000</v>
      </c>
      <c r="K280" t="str">
        <f>_xlfn.XLOOKUP(E280,'Products Master'!A:A,'Products Master'!D:D)</f>
        <v>Samsung</v>
      </c>
      <c r="L280">
        <f t="shared" si="16"/>
        <v>80000</v>
      </c>
      <c r="M280">
        <f t="shared" si="17"/>
        <v>65000</v>
      </c>
      <c r="N280">
        <f t="shared" si="18"/>
        <v>15000</v>
      </c>
      <c r="O280" s="2">
        <f t="shared" si="19"/>
        <v>0.1875</v>
      </c>
    </row>
    <row r="281" spans="1:15">
      <c r="A281" t="s">
        <v>608</v>
      </c>
      <c r="B281" t="s">
        <v>103</v>
      </c>
      <c r="C281" t="s">
        <v>384</v>
      </c>
      <c r="D281" t="s">
        <v>29</v>
      </c>
      <c r="E281" t="s">
        <v>18</v>
      </c>
      <c r="F281">
        <v>4</v>
      </c>
      <c r="G281">
        <v>45000</v>
      </c>
      <c r="H281" t="s">
        <v>30</v>
      </c>
      <c r="I281" t="str">
        <f>_xlfn.XLOOKUP(E281,'Products Master'!A:A,'Products Master'!B:B)</f>
        <v>Electronics</v>
      </c>
      <c r="J281">
        <f>_xlfn.XLOOKUP(E281,'Products Master'!A:A,'Products Master'!C:C)</f>
        <v>35000</v>
      </c>
      <c r="K281" t="str">
        <f>_xlfn.XLOOKUP(E281,'Products Master'!A:A,'Products Master'!D:D)</f>
        <v>HP</v>
      </c>
      <c r="L281">
        <f t="shared" si="16"/>
        <v>180000</v>
      </c>
      <c r="M281">
        <f t="shared" si="17"/>
        <v>140000</v>
      </c>
      <c r="N281">
        <f t="shared" si="18"/>
        <v>40000</v>
      </c>
      <c r="O281" s="2">
        <f t="shared" si="19"/>
        <v>0.22222222222222221</v>
      </c>
    </row>
    <row r="282" spans="1:15">
      <c r="A282" t="s">
        <v>609</v>
      </c>
      <c r="B282" t="s">
        <v>458</v>
      </c>
      <c r="C282" t="s">
        <v>176</v>
      </c>
      <c r="D282" t="s">
        <v>11</v>
      </c>
      <c r="E282" t="s">
        <v>124</v>
      </c>
      <c r="F282">
        <v>3</v>
      </c>
      <c r="G282">
        <v>18000</v>
      </c>
      <c r="H282" t="s">
        <v>95</v>
      </c>
      <c r="I282" t="str">
        <f>_xlfn.XLOOKUP(E282,'Products Master'!A:A,'Products Master'!B:B)</f>
        <v>Storage</v>
      </c>
      <c r="J282">
        <f>_xlfn.XLOOKUP(E282,'Products Master'!A:A,'Products Master'!C:C)</f>
        <v>12000</v>
      </c>
      <c r="K282" t="str">
        <f>_xlfn.XLOOKUP(E282,'Products Master'!A:A,'Products Master'!D:D)</f>
        <v>Kingston</v>
      </c>
      <c r="L282">
        <f t="shared" si="16"/>
        <v>54000</v>
      </c>
      <c r="M282">
        <f t="shared" si="17"/>
        <v>36000</v>
      </c>
      <c r="N282">
        <f t="shared" si="18"/>
        <v>18000</v>
      </c>
      <c r="O282" s="2">
        <f t="shared" si="19"/>
        <v>0.33333333333333331</v>
      </c>
    </row>
    <row r="283" spans="1:15">
      <c r="A283" t="s">
        <v>610</v>
      </c>
      <c r="B283" t="s">
        <v>396</v>
      </c>
      <c r="C283" t="s">
        <v>101</v>
      </c>
      <c r="D283" t="s">
        <v>29</v>
      </c>
      <c r="E283" t="s">
        <v>40</v>
      </c>
      <c r="F283">
        <v>1</v>
      </c>
      <c r="G283">
        <v>60000</v>
      </c>
      <c r="H283" t="s">
        <v>36</v>
      </c>
      <c r="I283" t="str">
        <f>_xlfn.XLOOKUP(E283,'Products Master'!A:A,'Products Master'!B:B)</f>
        <v>Electronics</v>
      </c>
      <c r="J283">
        <f>_xlfn.XLOOKUP(E283,'Products Master'!A:A,'Products Master'!C:C)</f>
        <v>50000</v>
      </c>
      <c r="K283" t="str">
        <f>_xlfn.XLOOKUP(E283,'Products Master'!A:A,'Products Master'!D:D)</f>
        <v>LG</v>
      </c>
      <c r="L283">
        <f t="shared" si="16"/>
        <v>60000</v>
      </c>
      <c r="M283">
        <f t="shared" si="17"/>
        <v>50000</v>
      </c>
      <c r="N283">
        <f t="shared" si="18"/>
        <v>10000</v>
      </c>
      <c r="O283" s="2">
        <f t="shared" si="19"/>
        <v>0.16666666666666666</v>
      </c>
    </row>
    <row r="284" spans="1:15">
      <c r="A284" t="s">
        <v>611</v>
      </c>
      <c r="B284" t="s">
        <v>474</v>
      </c>
      <c r="C284" t="s">
        <v>314</v>
      </c>
      <c r="D284" t="s">
        <v>29</v>
      </c>
      <c r="E284" t="s">
        <v>40</v>
      </c>
      <c r="F284">
        <v>3</v>
      </c>
      <c r="G284">
        <v>60000</v>
      </c>
      <c r="H284" t="s">
        <v>95</v>
      </c>
      <c r="I284" t="str">
        <f>_xlfn.XLOOKUP(E284,'Products Master'!A:A,'Products Master'!B:B)</f>
        <v>Electronics</v>
      </c>
      <c r="J284">
        <f>_xlfn.XLOOKUP(E284,'Products Master'!A:A,'Products Master'!C:C)</f>
        <v>50000</v>
      </c>
      <c r="K284" t="str">
        <f>_xlfn.XLOOKUP(E284,'Products Master'!A:A,'Products Master'!D:D)</f>
        <v>LG</v>
      </c>
      <c r="L284">
        <f t="shared" si="16"/>
        <v>180000</v>
      </c>
      <c r="M284">
        <f t="shared" si="17"/>
        <v>150000</v>
      </c>
      <c r="N284">
        <f t="shared" si="18"/>
        <v>30000</v>
      </c>
      <c r="O284" s="2">
        <f t="shared" si="19"/>
        <v>0.16666666666666666</v>
      </c>
    </row>
    <row r="285" spans="1:15">
      <c r="A285" t="s">
        <v>612</v>
      </c>
      <c r="B285" t="s">
        <v>265</v>
      </c>
      <c r="C285" t="s">
        <v>288</v>
      </c>
      <c r="D285" t="s">
        <v>29</v>
      </c>
      <c r="E285" t="s">
        <v>12</v>
      </c>
      <c r="F285">
        <v>4</v>
      </c>
      <c r="G285">
        <v>150000</v>
      </c>
      <c r="H285" t="s">
        <v>66</v>
      </c>
      <c r="I285" t="str">
        <f>_xlfn.XLOOKUP(E285,'Products Master'!A:A,'Products Master'!B:B)</f>
        <v>Electronics</v>
      </c>
      <c r="J285">
        <f>_xlfn.XLOOKUP(E285,'Products Master'!A:A,'Products Master'!C:C)</f>
        <v>120000</v>
      </c>
      <c r="K285" t="str">
        <f>_xlfn.XLOOKUP(E285,'Products Master'!A:A,'Products Master'!D:D)</f>
        <v>Dell</v>
      </c>
      <c r="L285">
        <f t="shared" si="16"/>
        <v>600000</v>
      </c>
      <c r="M285">
        <f t="shared" si="17"/>
        <v>480000</v>
      </c>
      <c r="N285">
        <f t="shared" si="18"/>
        <v>120000</v>
      </c>
      <c r="O285" s="2">
        <f t="shared" si="19"/>
        <v>0.2</v>
      </c>
    </row>
    <row r="286" spans="1:15">
      <c r="A286" t="s">
        <v>613</v>
      </c>
      <c r="B286" t="s">
        <v>56</v>
      </c>
      <c r="C286" t="s">
        <v>614</v>
      </c>
      <c r="D286" t="s">
        <v>23</v>
      </c>
      <c r="E286" t="s">
        <v>12</v>
      </c>
      <c r="F286">
        <v>1</v>
      </c>
      <c r="G286">
        <v>150000</v>
      </c>
      <c r="H286" t="s">
        <v>30</v>
      </c>
      <c r="I286" t="str">
        <f>_xlfn.XLOOKUP(E286,'Products Master'!A:A,'Products Master'!B:B)</f>
        <v>Electronics</v>
      </c>
      <c r="J286">
        <f>_xlfn.XLOOKUP(E286,'Products Master'!A:A,'Products Master'!C:C)</f>
        <v>120000</v>
      </c>
      <c r="K286" t="str">
        <f>_xlfn.XLOOKUP(E286,'Products Master'!A:A,'Products Master'!D:D)</f>
        <v>Dell</v>
      </c>
      <c r="L286">
        <f t="shared" si="16"/>
        <v>150000</v>
      </c>
      <c r="M286">
        <f t="shared" si="17"/>
        <v>120000</v>
      </c>
      <c r="N286">
        <f t="shared" si="18"/>
        <v>30000</v>
      </c>
      <c r="O286" s="2">
        <f t="shared" si="19"/>
        <v>0.2</v>
      </c>
    </row>
    <row r="287" spans="1:15">
      <c r="A287" t="s">
        <v>615</v>
      </c>
      <c r="B287" t="s">
        <v>474</v>
      </c>
      <c r="C287" t="s">
        <v>159</v>
      </c>
      <c r="D287" t="s">
        <v>11</v>
      </c>
      <c r="E287" t="s">
        <v>179</v>
      </c>
      <c r="F287">
        <v>2</v>
      </c>
      <c r="G287">
        <v>80000</v>
      </c>
      <c r="H287" t="s">
        <v>19</v>
      </c>
      <c r="I287" t="str">
        <f>_xlfn.XLOOKUP(E287,'Products Master'!A:A,'Products Master'!B:B)</f>
        <v>Electronics</v>
      </c>
      <c r="J287">
        <f>_xlfn.XLOOKUP(E287,'Products Master'!A:A,'Products Master'!C:C)</f>
        <v>65000</v>
      </c>
      <c r="K287" t="str">
        <f>_xlfn.XLOOKUP(E287,'Products Master'!A:A,'Products Master'!D:D)</f>
        <v>Samsung</v>
      </c>
      <c r="L287">
        <f t="shared" si="16"/>
        <v>160000</v>
      </c>
      <c r="M287">
        <f t="shared" si="17"/>
        <v>130000</v>
      </c>
      <c r="N287">
        <f t="shared" si="18"/>
        <v>30000</v>
      </c>
      <c r="O287" s="2">
        <f t="shared" si="19"/>
        <v>0.1875</v>
      </c>
    </row>
    <row r="288" spans="1:15">
      <c r="A288" t="s">
        <v>616</v>
      </c>
      <c r="B288" t="s">
        <v>617</v>
      </c>
      <c r="C288" t="s">
        <v>101</v>
      </c>
      <c r="D288" t="s">
        <v>111</v>
      </c>
      <c r="E288" t="s">
        <v>24</v>
      </c>
      <c r="F288">
        <v>4</v>
      </c>
      <c r="G288">
        <v>2500</v>
      </c>
      <c r="H288" t="s">
        <v>19</v>
      </c>
      <c r="I288" t="str">
        <f>_xlfn.XLOOKUP(E288,'Products Master'!A:A,'Products Master'!B:B)</f>
        <v>Accessories</v>
      </c>
      <c r="J288">
        <f>_xlfn.XLOOKUP(E288,'Products Master'!A:A,'Products Master'!C:C)</f>
        <v>1500</v>
      </c>
      <c r="K288" t="str">
        <f>_xlfn.XLOOKUP(E288,'Products Master'!A:A,'Products Master'!D:D)</f>
        <v>Logitech</v>
      </c>
      <c r="L288">
        <f t="shared" si="16"/>
        <v>10000</v>
      </c>
      <c r="M288">
        <f t="shared" si="17"/>
        <v>6000</v>
      </c>
      <c r="N288">
        <f t="shared" si="18"/>
        <v>4000</v>
      </c>
      <c r="O288" s="2">
        <f t="shared" si="19"/>
        <v>0.4</v>
      </c>
    </row>
    <row r="289" spans="1:15">
      <c r="A289" t="s">
        <v>618</v>
      </c>
      <c r="B289" t="s">
        <v>364</v>
      </c>
      <c r="C289" t="s">
        <v>44</v>
      </c>
      <c r="D289" t="s">
        <v>17</v>
      </c>
      <c r="E289" t="s">
        <v>179</v>
      </c>
      <c r="F289">
        <v>4</v>
      </c>
      <c r="G289">
        <v>80000</v>
      </c>
      <c r="H289" t="s">
        <v>116</v>
      </c>
      <c r="I289" t="str">
        <f>_xlfn.XLOOKUP(E289,'Products Master'!A:A,'Products Master'!B:B)</f>
        <v>Electronics</v>
      </c>
      <c r="J289">
        <f>_xlfn.XLOOKUP(E289,'Products Master'!A:A,'Products Master'!C:C)</f>
        <v>65000</v>
      </c>
      <c r="K289" t="str">
        <f>_xlfn.XLOOKUP(E289,'Products Master'!A:A,'Products Master'!D:D)</f>
        <v>Samsung</v>
      </c>
      <c r="L289">
        <f t="shared" si="16"/>
        <v>320000</v>
      </c>
      <c r="M289">
        <f t="shared" si="17"/>
        <v>260000</v>
      </c>
      <c r="N289">
        <f t="shared" si="18"/>
        <v>60000</v>
      </c>
      <c r="O289" s="2">
        <f t="shared" si="19"/>
        <v>0.1875</v>
      </c>
    </row>
    <row r="290" spans="1:15">
      <c r="A290" t="s">
        <v>619</v>
      </c>
      <c r="B290" t="s">
        <v>620</v>
      </c>
      <c r="C290" t="s">
        <v>101</v>
      </c>
      <c r="D290" t="s">
        <v>23</v>
      </c>
      <c r="E290" t="s">
        <v>12</v>
      </c>
      <c r="F290">
        <v>3</v>
      </c>
      <c r="G290">
        <v>150000</v>
      </c>
      <c r="H290" t="s">
        <v>13</v>
      </c>
      <c r="I290" t="str">
        <f>_xlfn.XLOOKUP(E290,'Products Master'!A:A,'Products Master'!B:B)</f>
        <v>Electronics</v>
      </c>
      <c r="J290">
        <f>_xlfn.XLOOKUP(E290,'Products Master'!A:A,'Products Master'!C:C)</f>
        <v>120000</v>
      </c>
      <c r="K290" t="str">
        <f>_xlfn.XLOOKUP(E290,'Products Master'!A:A,'Products Master'!D:D)</f>
        <v>Dell</v>
      </c>
      <c r="L290">
        <f t="shared" si="16"/>
        <v>450000</v>
      </c>
      <c r="M290">
        <f t="shared" si="17"/>
        <v>360000</v>
      </c>
      <c r="N290">
        <f t="shared" si="18"/>
        <v>90000</v>
      </c>
      <c r="O290" s="2">
        <f t="shared" si="19"/>
        <v>0.2</v>
      </c>
    </row>
    <row r="291" spans="1:15">
      <c r="A291" t="s">
        <v>621</v>
      </c>
      <c r="B291" t="s">
        <v>622</v>
      </c>
      <c r="C291" t="s">
        <v>60</v>
      </c>
      <c r="D291" t="s">
        <v>45</v>
      </c>
      <c r="E291" t="s">
        <v>12</v>
      </c>
      <c r="F291">
        <v>5</v>
      </c>
      <c r="G291">
        <v>150000</v>
      </c>
      <c r="H291" t="s">
        <v>116</v>
      </c>
      <c r="I291" t="str">
        <f>_xlfn.XLOOKUP(E291,'Products Master'!A:A,'Products Master'!B:B)</f>
        <v>Electronics</v>
      </c>
      <c r="J291">
        <f>_xlfn.XLOOKUP(E291,'Products Master'!A:A,'Products Master'!C:C)</f>
        <v>120000</v>
      </c>
      <c r="K291" t="str">
        <f>_xlfn.XLOOKUP(E291,'Products Master'!A:A,'Products Master'!D:D)</f>
        <v>Dell</v>
      </c>
      <c r="L291">
        <f t="shared" si="16"/>
        <v>750000</v>
      </c>
      <c r="M291">
        <f t="shared" si="17"/>
        <v>600000</v>
      </c>
      <c r="N291">
        <f t="shared" si="18"/>
        <v>150000</v>
      </c>
      <c r="O291" s="2">
        <f t="shared" si="19"/>
        <v>0.2</v>
      </c>
    </row>
    <row r="292" spans="1:15">
      <c r="A292" t="s">
        <v>623</v>
      </c>
      <c r="B292" t="s">
        <v>624</v>
      </c>
      <c r="C292" t="s">
        <v>476</v>
      </c>
      <c r="D292" t="s">
        <v>34</v>
      </c>
      <c r="E292" t="s">
        <v>99</v>
      </c>
      <c r="F292">
        <v>1</v>
      </c>
      <c r="G292">
        <v>5000</v>
      </c>
      <c r="H292" t="s">
        <v>19</v>
      </c>
      <c r="I292" t="str">
        <f>_xlfn.XLOOKUP(E292,'Products Master'!A:A,'Products Master'!B:B)</f>
        <v>Accessories</v>
      </c>
      <c r="J292">
        <f>_xlfn.XLOOKUP(E292,'Products Master'!A:A,'Products Master'!C:C)</f>
        <v>3500</v>
      </c>
      <c r="K292" t="str">
        <f>_xlfn.XLOOKUP(E292,'Products Master'!A:A,'Products Master'!D:D)</f>
        <v>Logitech</v>
      </c>
      <c r="L292">
        <f t="shared" si="16"/>
        <v>5000</v>
      </c>
      <c r="M292">
        <f t="shared" si="17"/>
        <v>3500</v>
      </c>
      <c r="N292">
        <f t="shared" si="18"/>
        <v>1500</v>
      </c>
      <c r="O292" s="2">
        <f t="shared" si="19"/>
        <v>0.3</v>
      </c>
    </row>
    <row r="293" spans="1:15">
      <c r="A293" t="s">
        <v>625</v>
      </c>
      <c r="B293" t="s">
        <v>275</v>
      </c>
      <c r="C293" t="s">
        <v>387</v>
      </c>
      <c r="D293" t="s">
        <v>23</v>
      </c>
      <c r="E293" t="s">
        <v>35</v>
      </c>
      <c r="F293">
        <v>5</v>
      </c>
      <c r="G293">
        <v>2000</v>
      </c>
      <c r="H293" t="s">
        <v>50</v>
      </c>
      <c r="I293" t="str">
        <f>_xlfn.XLOOKUP(E293,'Products Master'!A:A,'Products Master'!B:B)</f>
        <v>Storage</v>
      </c>
      <c r="J293">
        <f>_xlfn.XLOOKUP(E293,'Products Master'!A:A,'Products Master'!C:C)</f>
        <v>1200</v>
      </c>
      <c r="K293" t="str">
        <f>_xlfn.XLOOKUP(E293,'Products Master'!A:A,'Products Master'!D:D)</f>
        <v>SanDisk</v>
      </c>
      <c r="L293">
        <f t="shared" si="16"/>
        <v>10000</v>
      </c>
      <c r="M293">
        <f t="shared" si="17"/>
        <v>6000</v>
      </c>
      <c r="N293">
        <f t="shared" si="18"/>
        <v>4000</v>
      </c>
      <c r="O293" s="2">
        <f t="shared" si="19"/>
        <v>0.4</v>
      </c>
    </row>
    <row r="294" spans="1:15">
      <c r="A294" t="s">
        <v>626</v>
      </c>
      <c r="B294" t="s">
        <v>275</v>
      </c>
      <c r="C294" t="s">
        <v>536</v>
      </c>
      <c r="D294" t="s">
        <v>111</v>
      </c>
      <c r="E294" t="s">
        <v>124</v>
      </c>
      <c r="F294">
        <v>1</v>
      </c>
      <c r="G294">
        <v>18000</v>
      </c>
      <c r="H294" t="s">
        <v>13</v>
      </c>
      <c r="I294" t="str">
        <f>_xlfn.XLOOKUP(E294,'Products Master'!A:A,'Products Master'!B:B)</f>
        <v>Storage</v>
      </c>
      <c r="J294">
        <f>_xlfn.XLOOKUP(E294,'Products Master'!A:A,'Products Master'!C:C)</f>
        <v>12000</v>
      </c>
      <c r="K294" t="str">
        <f>_xlfn.XLOOKUP(E294,'Products Master'!A:A,'Products Master'!D:D)</f>
        <v>Kingston</v>
      </c>
      <c r="L294">
        <f t="shared" si="16"/>
        <v>18000</v>
      </c>
      <c r="M294">
        <f t="shared" si="17"/>
        <v>12000</v>
      </c>
      <c r="N294">
        <f t="shared" si="18"/>
        <v>6000</v>
      </c>
      <c r="O294" s="2">
        <f t="shared" si="19"/>
        <v>0.33333333333333331</v>
      </c>
    </row>
    <row r="295" spans="1:15">
      <c r="A295" t="s">
        <v>627</v>
      </c>
      <c r="B295" t="s">
        <v>350</v>
      </c>
      <c r="C295" t="s">
        <v>83</v>
      </c>
      <c r="D295" t="s">
        <v>111</v>
      </c>
      <c r="E295" t="s">
        <v>18</v>
      </c>
      <c r="F295">
        <v>1</v>
      </c>
      <c r="G295">
        <v>45000</v>
      </c>
      <c r="H295" t="s">
        <v>36</v>
      </c>
      <c r="I295" t="str">
        <f>_xlfn.XLOOKUP(E295,'Products Master'!A:A,'Products Master'!B:B)</f>
        <v>Electronics</v>
      </c>
      <c r="J295">
        <f>_xlfn.XLOOKUP(E295,'Products Master'!A:A,'Products Master'!C:C)</f>
        <v>35000</v>
      </c>
      <c r="K295" t="str">
        <f>_xlfn.XLOOKUP(E295,'Products Master'!A:A,'Products Master'!D:D)</f>
        <v>HP</v>
      </c>
      <c r="L295">
        <f t="shared" si="16"/>
        <v>45000</v>
      </c>
      <c r="M295">
        <f t="shared" si="17"/>
        <v>35000</v>
      </c>
      <c r="N295">
        <f t="shared" si="18"/>
        <v>10000</v>
      </c>
      <c r="O295" s="2">
        <f t="shared" si="19"/>
        <v>0.22222222222222221</v>
      </c>
    </row>
    <row r="296" spans="1:15">
      <c r="A296" t="s">
        <v>628</v>
      </c>
      <c r="B296" t="s">
        <v>198</v>
      </c>
      <c r="C296" t="s">
        <v>137</v>
      </c>
      <c r="D296" t="s">
        <v>23</v>
      </c>
      <c r="E296" t="s">
        <v>124</v>
      </c>
      <c r="F296">
        <v>1</v>
      </c>
      <c r="G296">
        <v>18000</v>
      </c>
      <c r="H296" t="s">
        <v>50</v>
      </c>
      <c r="I296" t="str">
        <f>_xlfn.XLOOKUP(E296,'Products Master'!A:A,'Products Master'!B:B)</f>
        <v>Storage</v>
      </c>
      <c r="J296">
        <f>_xlfn.XLOOKUP(E296,'Products Master'!A:A,'Products Master'!C:C)</f>
        <v>12000</v>
      </c>
      <c r="K296" t="str">
        <f>_xlfn.XLOOKUP(E296,'Products Master'!A:A,'Products Master'!D:D)</f>
        <v>Kingston</v>
      </c>
      <c r="L296">
        <f t="shared" si="16"/>
        <v>18000</v>
      </c>
      <c r="M296">
        <f t="shared" si="17"/>
        <v>12000</v>
      </c>
      <c r="N296">
        <f t="shared" si="18"/>
        <v>6000</v>
      </c>
      <c r="O296" s="2">
        <f t="shared" si="19"/>
        <v>0.33333333333333331</v>
      </c>
    </row>
    <row r="297" spans="1:15">
      <c r="A297" t="s">
        <v>629</v>
      </c>
      <c r="B297" t="s">
        <v>439</v>
      </c>
      <c r="C297" t="s">
        <v>630</v>
      </c>
      <c r="D297" t="s">
        <v>34</v>
      </c>
      <c r="E297" t="s">
        <v>179</v>
      </c>
      <c r="F297">
        <v>1</v>
      </c>
      <c r="G297">
        <v>80000</v>
      </c>
      <c r="H297" t="s">
        <v>116</v>
      </c>
      <c r="I297" t="str">
        <f>_xlfn.XLOOKUP(E297,'Products Master'!A:A,'Products Master'!B:B)</f>
        <v>Electronics</v>
      </c>
      <c r="J297">
        <f>_xlfn.XLOOKUP(E297,'Products Master'!A:A,'Products Master'!C:C)</f>
        <v>65000</v>
      </c>
      <c r="K297" t="str">
        <f>_xlfn.XLOOKUP(E297,'Products Master'!A:A,'Products Master'!D:D)</f>
        <v>Samsung</v>
      </c>
      <c r="L297">
        <f t="shared" si="16"/>
        <v>80000</v>
      </c>
      <c r="M297">
        <f t="shared" si="17"/>
        <v>65000</v>
      </c>
      <c r="N297">
        <f t="shared" si="18"/>
        <v>15000</v>
      </c>
      <c r="O297" s="2">
        <f t="shared" si="19"/>
        <v>0.1875</v>
      </c>
    </row>
    <row r="298" spans="1:15">
      <c r="A298" t="s">
        <v>631</v>
      </c>
      <c r="B298" t="s">
        <v>632</v>
      </c>
      <c r="C298" t="s">
        <v>194</v>
      </c>
      <c r="D298" t="s">
        <v>23</v>
      </c>
      <c r="E298" t="s">
        <v>54</v>
      </c>
      <c r="F298">
        <v>4</v>
      </c>
      <c r="G298">
        <v>7000</v>
      </c>
      <c r="H298" t="s">
        <v>41</v>
      </c>
      <c r="I298" t="str">
        <f>_xlfn.XLOOKUP(E298,'Products Master'!A:A,'Products Master'!B:B)</f>
        <v>Accessories</v>
      </c>
      <c r="J298">
        <f>_xlfn.XLOOKUP(E298,'Products Master'!A:A,'Products Master'!C:C)</f>
        <v>5000</v>
      </c>
      <c r="K298" t="str">
        <f>_xlfn.XLOOKUP(E298,'Products Master'!A:A,'Products Master'!D:D)</f>
        <v>Sony</v>
      </c>
      <c r="L298">
        <f t="shared" si="16"/>
        <v>28000</v>
      </c>
      <c r="M298">
        <f t="shared" si="17"/>
        <v>20000</v>
      </c>
      <c r="N298">
        <f t="shared" si="18"/>
        <v>8000</v>
      </c>
      <c r="O298" s="2">
        <f t="shared" si="19"/>
        <v>0.2857142857142857</v>
      </c>
    </row>
    <row r="299" spans="1:15">
      <c r="A299" t="s">
        <v>633</v>
      </c>
      <c r="B299" t="s">
        <v>501</v>
      </c>
      <c r="C299" t="s">
        <v>384</v>
      </c>
      <c r="D299" t="s">
        <v>11</v>
      </c>
      <c r="E299" t="s">
        <v>179</v>
      </c>
      <c r="F299">
        <v>2</v>
      </c>
      <c r="G299">
        <v>80000</v>
      </c>
      <c r="H299" t="s">
        <v>41</v>
      </c>
      <c r="I299" t="str">
        <f>_xlfn.XLOOKUP(E299,'Products Master'!A:A,'Products Master'!B:B)</f>
        <v>Electronics</v>
      </c>
      <c r="J299">
        <f>_xlfn.XLOOKUP(E299,'Products Master'!A:A,'Products Master'!C:C)</f>
        <v>65000</v>
      </c>
      <c r="K299" t="str">
        <f>_xlfn.XLOOKUP(E299,'Products Master'!A:A,'Products Master'!D:D)</f>
        <v>Samsung</v>
      </c>
      <c r="L299">
        <f t="shared" si="16"/>
        <v>160000</v>
      </c>
      <c r="M299">
        <f t="shared" si="17"/>
        <v>130000</v>
      </c>
      <c r="N299">
        <f t="shared" si="18"/>
        <v>30000</v>
      </c>
      <c r="O299" s="2">
        <f t="shared" si="19"/>
        <v>0.1875</v>
      </c>
    </row>
    <row r="300" spans="1:15">
      <c r="A300" t="s">
        <v>634</v>
      </c>
      <c r="B300" t="s">
        <v>635</v>
      </c>
      <c r="C300" t="s">
        <v>91</v>
      </c>
      <c r="D300" t="s">
        <v>11</v>
      </c>
      <c r="E300" t="s">
        <v>18</v>
      </c>
      <c r="F300">
        <v>2</v>
      </c>
      <c r="G300">
        <v>45000</v>
      </c>
      <c r="H300" t="s">
        <v>66</v>
      </c>
      <c r="I300" t="str">
        <f>_xlfn.XLOOKUP(E300,'Products Master'!A:A,'Products Master'!B:B)</f>
        <v>Electronics</v>
      </c>
      <c r="J300">
        <f>_xlfn.XLOOKUP(E300,'Products Master'!A:A,'Products Master'!C:C)</f>
        <v>35000</v>
      </c>
      <c r="K300" t="str">
        <f>_xlfn.XLOOKUP(E300,'Products Master'!A:A,'Products Master'!D:D)</f>
        <v>HP</v>
      </c>
      <c r="L300">
        <f t="shared" si="16"/>
        <v>90000</v>
      </c>
      <c r="M300">
        <f t="shared" si="17"/>
        <v>70000</v>
      </c>
      <c r="N300">
        <f t="shared" si="18"/>
        <v>20000</v>
      </c>
      <c r="O300" s="2">
        <f t="shared" si="19"/>
        <v>0.22222222222222221</v>
      </c>
    </row>
    <row r="301" spans="1:15">
      <c r="A301" t="s">
        <v>636</v>
      </c>
      <c r="B301" t="s">
        <v>637</v>
      </c>
      <c r="C301" t="s">
        <v>353</v>
      </c>
      <c r="D301" t="s">
        <v>111</v>
      </c>
      <c r="E301" t="s">
        <v>35</v>
      </c>
      <c r="F301">
        <v>1</v>
      </c>
      <c r="G301">
        <v>2000</v>
      </c>
      <c r="H301" t="s">
        <v>116</v>
      </c>
      <c r="I301" t="str">
        <f>_xlfn.XLOOKUP(E301,'Products Master'!A:A,'Products Master'!B:B)</f>
        <v>Storage</v>
      </c>
      <c r="J301">
        <f>_xlfn.XLOOKUP(E301,'Products Master'!A:A,'Products Master'!C:C)</f>
        <v>1200</v>
      </c>
      <c r="K301" t="str">
        <f>_xlfn.XLOOKUP(E301,'Products Master'!A:A,'Products Master'!D:D)</f>
        <v>SanDisk</v>
      </c>
      <c r="L301">
        <f t="shared" si="16"/>
        <v>2000</v>
      </c>
      <c r="M301">
        <f t="shared" si="17"/>
        <v>1200</v>
      </c>
      <c r="N301">
        <f t="shared" si="18"/>
        <v>800</v>
      </c>
      <c r="O301" s="2">
        <f t="shared" si="19"/>
        <v>0.4</v>
      </c>
    </row>
    <row r="302" spans="1:15">
      <c r="A302" t="s">
        <v>638</v>
      </c>
      <c r="B302" t="s">
        <v>639</v>
      </c>
      <c r="C302" t="s">
        <v>481</v>
      </c>
      <c r="D302" t="s">
        <v>23</v>
      </c>
      <c r="E302" t="s">
        <v>179</v>
      </c>
      <c r="F302">
        <v>4</v>
      </c>
      <c r="G302">
        <v>80000</v>
      </c>
      <c r="H302" t="s">
        <v>13</v>
      </c>
      <c r="I302" t="str">
        <f>_xlfn.XLOOKUP(E302,'Products Master'!A:A,'Products Master'!B:B)</f>
        <v>Electronics</v>
      </c>
      <c r="J302">
        <f>_xlfn.XLOOKUP(E302,'Products Master'!A:A,'Products Master'!C:C)</f>
        <v>65000</v>
      </c>
      <c r="K302" t="str">
        <f>_xlfn.XLOOKUP(E302,'Products Master'!A:A,'Products Master'!D:D)</f>
        <v>Samsung</v>
      </c>
      <c r="L302">
        <f t="shared" si="16"/>
        <v>320000</v>
      </c>
      <c r="M302">
        <f t="shared" si="17"/>
        <v>260000</v>
      </c>
      <c r="N302">
        <f t="shared" si="18"/>
        <v>60000</v>
      </c>
      <c r="O302" s="2">
        <f t="shared" si="19"/>
        <v>0.1875</v>
      </c>
    </row>
    <row r="303" spans="1:15">
      <c r="A303" t="s">
        <v>640</v>
      </c>
      <c r="B303" t="s">
        <v>641</v>
      </c>
      <c r="C303" t="s">
        <v>159</v>
      </c>
      <c r="D303" t="s">
        <v>45</v>
      </c>
      <c r="E303" t="s">
        <v>99</v>
      </c>
      <c r="F303">
        <v>5</v>
      </c>
      <c r="G303">
        <v>5000</v>
      </c>
      <c r="H303" t="s">
        <v>25</v>
      </c>
      <c r="I303" t="str">
        <f>_xlfn.XLOOKUP(E303,'Products Master'!A:A,'Products Master'!B:B)</f>
        <v>Accessories</v>
      </c>
      <c r="J303">
        <f>_xlfn.XLOOKUP(E303,'Products Master'!A:A,'Products Master'!C:C)</f>
        <v>3500</v>
      </c>
      <c r="K303" t="str">
        <f>_xlfn.XLOOKUP(E303,'Products Master'!A:A,'Products Master'!D:D)</f>
        <v>Logitech</v>
      </c>
      <c r="L303">
        <f t="shared" si="16"/>
        <v>25000</v>
      </c>
      <c r="M303">
        <f t="shared" si="17"/>
        <v>17500</v>
      </c>
      <c r="N303">
        <f t="shared" si="18"/>
        <v>7500</v>
      </c>
      <c r="O303" s="2">
        <f t="shared" si="19"/>
        <v>0.3</v>
      </c>
    </row>
    <row r="304" spans="1:15">
      <c r="A304" t="s">
        <v>642</v>
      </c>
      <c r="B304" t="s">
        <v>643</v>
      </c>
      <c r="C304" t="s">
        <v>48</v>
      </c>
      <c r="D304" t="s">
        <v>29</v>
      </c>
      <c r="E304" t="s">
        <v>179</v>
      </c>
      <c r="F304">
        <v>2</v>
      </c>
      <c r="G304">
        <v>80000</v>
      </c>
      <c r="H304" t="s">
        <v>25</v>
      </c>
      <c r="I304" t="str">
        <f>_xlfn.XLOOKUP(E304,'Products Master'!A:A,'Products Master'!B:B)</f>
        <v>Electronics</v>
      </c>
      <c r="J304">
        <f>_xlfn.XLOOKUP(E304,'Products Master'!A:A,'Products Master'!C:C)</f>
        <v>65000</v>
      </c>
      <c r="K304" t="str">
        <f>_xlfn.XLOOKUP(E304,'Products Master'!A:A,'Products Master'!D:D)</f>
        <v>Samsung</v>
      </c>
      <c r="L304">
        <f t="shared" si="16"/>
        <v>160000</v>
      </c>
      <c r="M304">
        <f t="shared" si="17"/>
        <v>130000</v>
      </c>
      <c r="N304">
        <f t="shared" si="18"/>
        <v>30000</v>
      </c>
      <c r="O304" s="2">
        <f t="shared" si="19"/>
        <v>0.1875</v>
      </c>
    </row>
    <row r="305" spans="1:15">
      <c r="A305" t="s">
        <v>644</v>
      </c>
      <c r="B305" t="s">
        <v>62</v>
      </c>
      <c r="C305" t="s">
        <v>318</v>
      </c>
      <c r="D305" t="s">
        <v>23</v>
      </c>
      <c r="E305" t="s">
        <v>24</v>
      </c>
      <c r="F305">
        <v>1</v>
      </c>
      <c r="G305">
        <v>2500</v>
      </c>
      <c r="H305" t="s">
        <v>36</v>
      </c>
      <c r="I305" t="str">
        <f>_xlfn.XLOOKUP(E305,'Products Master'!A:A,'Products Master'!B:B)</f>
        <v>Accessories</v>
      </c>
      <c r="J305">
        <f>_xlfn.XLOOKUP(E305,'Products Master'!A:A,'Products Master'!C:C)</f>
        <v>1500</v>
      </c>
      <c r="K305" t="str">
        <f>_xlfn.XLOOKUP(E305,'Products Master'!A:A,'Products Master'!D:D)</f>
        <v>Logitech</v>
      </c>
      <c r="L305">
        <f t="shared" si="16"/>
        <v>2500</v>
      </c>
      <c r="M305">
        <f t="shared" si="17"/>
        <v>1500</v>
      </c>
      <c r="N305">
        <f t="shared" si="18"/>
        <v>1000</v>
      </c>
      <c r="O305" s="2">
        <f t="shared" si="19"/>
        <v>0.4</v>
      </c>
    </row>
    <row r="306" spans="1:15">
      <c r="A306" t="s">
        <v>645</v>
      </c>
      <c r="B306" t="s">
        <v>646</v>
      </c>
      <c r="C306" t="s">
        <v>481</v>
      </c>
      <c r="D306" t="s">
        <v>34</v>
      </c>
      <c r="E306" t="s">
        <v>124</v>
      </c>
      <c r="F306">
        <v>2</v>
      </c>
      <c r="G306">
        <v>18000</v>
      </c>
      <c r="H306" t="s">
        <v>36</v>
      </c>
      <c r="I306" t="str">
        <f>_xlfn.XLOOKUP(E306,'Products Master'!A:A,'Products Master'!B:B)</f>
        <v>Storage</v>
      </c>
      <c r="J306">
        <f>_xlfn.XLOOKUP(E306,'Products Master'!A:A,'Products Master'!C:C)</f>
        <v>12000</v>
      </c>
      <c r="K306" t="str">
        <f>_xlfn.XLOOKUP(E306,'Products Master'!A:A,'Products Master'!D:D)</f>
        <v>Kingston</v>
      </c>
      <c r="L306">
        <f t="shared" si="16"/>
        <v>36000</v>
      </c>
      <c r="M306">
        <f t="shared" si="17"/>
        <v>24000</v>
      </c>
      <c r="N306">
        <f t="shared" si="18"/>
        <v>12000</v>
      </c>
      <c r="O306" s="2">
        <f t="shared" si="19"/>
        <v>0.33333333333333331</v>
      </c>
    </row>
    <row r="307" spans="1:15">
      <c r="A307" t="s">
        <v>647</v>
      </c>
      <c r="B307" t="s">
        <v>56</v>
      </c>
      <c r="C307" t="s">
        <v>230</v>
      </c>
      <c r="D307" t="s">
        <v>23</v>
      </c>
      <c r="E307" t="s">
        <v>35</v>
      </c>
      <c r="F307">
        <v>5</v>
      </c>
      <c r="G307">
        <v>2000</v>
      </c>
      <c r="H307" t="s">
        <v>25</v>
      </c>
      <c r="I307" t="str">
        <f>_xlfn.XLOOKUP(E307,'Products Master'!A:A,'Products Master'!B:B)</f>
        <v>Storage</v>
      </c>
      <c r="J307">
        <f>_xlfn.XLOOKUP(E307,'Products Master'!A:A,'Products Master'!C:C)</f>
        <v>1200</v>
      </c>
      <c r="K307" t="str">
        <f>_xlfn.XLOOKUP(E307,'Products Master'!A:A,'Products Master'!D:D)</f>
        <v>SanDisk</v>
      </c>
      <c r="L307">
        <f t="shared" si="16"/>
        <v>10000</v>
      </c>
      <c r="M307">
        <f t="shared" si="17"/>
        <v>6000</v>
      </c>
      <c r="N307">
        <f t="shared" si="18"/>
        <v>4000</v>
      </c>
      <c r="O307" s="2">
        <f t="shared" si="19"/>
        <v>0.4</v>
      </c>
    </row>
    <row r="308" spans="1:15">
      <c r="A308" t="s">
        <v>648</v>
      </c>
      <c r="B308" t="s">
        <v>366</v>
      </c>
      <c r="C308" t="s">
        <v>134</v>
      </c>
      <c r="D308" t="s">
        <v>34</v>
      </c>
      <c r="E308" t="s">
        <v>54</v>
      </c>
      <c r="F308">
        <v>5</v>
      </c>
      <c r="G308">
        <v>7000</v>
      </c>
      <c r="H308" t="s">
        <v>41</v>
      </c>
      <c r="I308" t="str">
        <f>_xlfn.XLOOKUP(E308,'Products Master'!A:A,'Products Master'!B:B)</f>
        <v>Accessories</v>
      </c>
      <c r="J308">
        <f>_xlfn.XLOOKUP(E308,'Products Master'!A:A,'Products Master'!C:C)</f>
        <v>5000</v>
      </c>
      <c r="K308" t="str">
        <f>_xlfn.XLOOKUP(E308,'Products Master'!A:A,'Products Master'!D:D)</f>
        <v>Sony</v>
      </c>
      <c r="L308">
        <f t="shared" si="16"/>
        <v>35000</v>
      </c>
      <c r="M308">
        <f t="shared" si="17"/>
        <v>25000</v>
      </c>
      <c r="N308">
        <f t="shared" si="18"/>
        <v>10000</v>
      </c>
      <c r="O308" s="2">
        <f t="shared" si="19"/>
        <v>0.2857142857142857</v>
      </c>
    </row>
    <row r="309" spans="1:15">
      <c r="A309" t="s">
        <v>649</v>
      </c>
      <c r="B309" t="s">
        <v>358</v>
      </c>
      <c r="C309" t="s">
        <v>454</v>
      </c>
      <c r="D309" t="s">
        <v>34</v>
      </c>
      <c r="E309" t="s">
        <v>179</v>
      </c>
      <c r="F309">
        <v>4</v>
      </c>
      <c r="G309">
        <v>80000</v>
      </c>
      <c r="H309" t="s">
        <v>116</v>
      </c>
      <c r="I309" t="str">
        <f>_xlfn.XLOOKUP(E309,'Products Master'!A:A,'Products Master'!B:B)</f>
        <v>Electronics</v>
      </c>
      <c r="J309">
        <f>_xlfn.XLOOKUP(E309,'Products Master'!A:A,'Products Master'!C:C)</f>
        <v>65000</v>
      </c>
      <c r="K309" t="str">
        <f>_xlfn.XLOOKUP(E309,'Products Master'!A:A,'Products Master'!D:D)</f>
        <v>Samsung</v>
      </c>
      <c r="L309">
        <f t="shared" si="16"/>
        <v>320000</v>
      </c>
      <c r="M309">
        <f t="shared" si="17"/>
        <v>260000</v>
      </c>
      <c r="N309">
        <f t="shared" si="18"/>
        <v>60000</v>
      </c>
      <c r="O309" s="2">
        <f t="shared" si="19"/>
        <v>0.1875</v>
      </c>
    </row>
    <row r="310" spans="1:15">
      <c r="A310" t="s">
        <v>650</v>
      </c>
      <c r="B310" t="s">
        <v>166</v>
      </c>
      <c r="C310" t="s">
        <v>83</v>
      </c>
      <c r="D310" t="s">
        <v>29</v>
      </c>
      <c r="E310" t="s">
        <v>49</v>
      </c>
      <c r="F310">
        <v>5</v>
      </c>
      <c r="G310">
        <v>9500</v>
      </c>
      <c r="H310" t="s">
        <v>50</v>
      </c>
      <c r="I310" t="str">
        <f>_xlfn.XLOOKUP(E310,'Products Master'!A:A,'Products Master'!B:B)</f>
        <v>Accessories</v>
      </c>
      <c r="J310">
        <f>_xlfn.XLOOKUP(E310,'Products Master'!A:A,'Products Master'!C:C)</f>
        <v>7000</v>
      </c>
      <c r="K310" t="str">
        <f>_xlfn.XLOOKUP(E310,'Products Master'!A:A,'Products Master'!D:D)</f>
        <v>Logitech</v>
      </c>
      <c r="L310">
        <f t="shared" si="16"/>
        <v>47500</v>
      </c>
      <c r="M310">
        <f t="shared" si="17"/>
        <v>35000</v>
      </c>
      <c r="N310">
        <f t="shared" si="18"/>
        <v>12500</v>
      </c>
      <c r="O310" s="2">
        <f t="shared" si="19"/>
        <v>0.26315789473684209</v>
      </c>
    </row>
    <row r="311" spans="1:15">
      <c r="A311" t="s">
        <v>651</v>
      </c>
      <c r="B311" t="s">
        <v>652</v>
      </c>
      <c r="C311" t="s">
        <v>152</v>
      </c>
      <c r="D311" t="s">
        <v>115</v>
      </c>
      <c r="E311" t="s">
        <v>40</v>
      </c>
      <c r="F311">
        <v>2</v>
      </c>
      <c r="G311">
        <v>60000</v>
      </c>
      <c r="H311" t="s">
        <v>50</v>
      </c>
      <c r="I311" t="str">
        <f>_xlfn.XLOOKUP(E311,'Products Master'!A:A,'Products Master'!B:B)</f>
        <v>Electronics</v>
      </c>
      <c r="J311">
        <f>_xlfn.XLOOKUP(E311,'Products Master'!A:A,'Products Master'!C:C)</f>
        <v>50000</v>
      </c>
      <c r="K311" t="str">
        <f>_xlfn.XLOOKUP(E311,'Products Master'!A:A,'Products Master'!D:D)</f>
        <v>LG</v>
      </c>
      <c r="L311">
        <f t="shared" si="16"/>
        <v>120000</v>
      </c>
      <c r="M311">
        <f t="shared" si="17"/>
        <v>100000</v>
      </c>
      <c r="N311">
        <f t="shared" si="18"/>
        <v>20000</v>
      </c>
      <c r="O311" s="2">
        <f t="shared" si="19"/>
        <v>0.16666666666666666</v>
      </c>
    </row>
    <row r="312" spans="1:15">
      <c r="A312" t="s">
        <v>653</v>
      </c>
      <c r="B312" t="s">
        <v>654</v>
      </c>
      <c r="C312" t="s">
        <v>189</v>
      </c>
      <c r="D312" t="s">
        <v>115</v>
      </c>
      <c r="E312" t="s">
        <v>40</v>
      </c>
      <c r="F312">
        <v>3</v>
      </c>
      <c r="G312">
        <v>60000</v>
      </c>
      <c r="H312" t="s">
        <v>116</v>
      </c>
      <c r="I312" t="str">
        <f>_xlfn.XLOOKUP(E312,'Products Master'!A:A,'Products Master'!B:B)</f>
        <v>Electronics</v>
      </c>
      <c r="J312">
        <f>_xlfn.XLOOKUP(E312,'Products Master'!A:A,'Products Master'!C:C)</f>
        <v>50000</v>
      </c>
      <c r="K312" t="str">
        <f>_xlfn.XLOOKUP(E312,'Products Master'!A:A,'Products Master'!D:D)</f>
        <v>LG</v>
      </c>
      <c r="L312">
        <f t="shared" si="16"/>
        <v>180000</v>
      </c>
      <c r="M312">
        <f t="shared" si="17"/>
        <v>150000</v>
      </c>
      <c r="N312">
        <f t="shared" si="18"/>
        <v>30000</v>
      </c>
      <c r="O312" s="2">
        <f t="shared" si="19"/>
        <v>0.16666666666666666</v>
      </c>
    </row>
    <row r="313" spans="1:15">
      <c r="A313" t="s">
        <v>655</v>
      </c>
      <c r="B313" t="s">
        <v>656</v>
      </c>
      <c r="C313" t="s">
        <v>194</v>
      </c>
      <c r="D313" t="s">
        <v>34</v>
      </c>
      <c r="E313" t="s">
        <v>18</v>
      </c>
      <c r="F313">
        <v>4</v>
      </c>
      <c r="G313">
        <v>45000</v>
      </c>
      <c r="H313" t="s">
        <v>13</v>
      </c>
      <c r="I313" t="str">
        <f>_xlfn.XLOOKUP(E313,'Products Master'!A:A,'Products Master'!B:B)</f>
        <v>Electronics</v>
      </c>
      <c r="J313">
        <f>_xlfn.XLOOKUP(E313,'Products Master'!A:A,'Products Master'!C:C)</f>
        <v>35000</v>
      </c>
      <c r="K313" t="str">
        <f>_xlfn.XLOOKUP(E313,'Products Master'!A:A,'Products Master'!D:D)</f>
        <v>HP</v>
      </c>
      <c r="L313">
        <f t="shared" si="16"/>
        <v>180000</v>
      </c>
      <c r="M313">
        <f t="shared" si="17"/>
        <v>140000</v>
      </c>
      <c r="N313">
        <f t="shared" si="18"/>
        <v>40000</v>
      </c>
      <c r="O313" s="2">
        <f t="shared" si="19"/>
        <v>0.22222222222222221</v>
      </c>
    </row>
    <row r="314" spans="1:15">
      <c r="A314" t="s">
        <v>657</v>
      </c>
      <c r="B314" t="s">
        <v>523</v>
      </c>
      <c r="C314" t="s">
        <v>33</v>
      </c>
      <c r="D314" t="s">
        <v>29</v>
      </c>
      <c r="E314" t="s">
        <v>12</v>
      </c>
      <c r="F314">
        <v>1</v>
      </c>
      <c r="G314">
        <v>150000</v>
      </c>
      <c r="H314" t="s">
        <v>116</v>
      </c>
      <c r="I314" t="str">
        <f>_xlfn.XLOOKUP(E314,'Products Master'!A:A,'Products Master'!B:B)</f>
        <v>Electronics</v>
      </c>
      <c r="J314">
        <f>_xlfn.XLOOKUP(E314,'Products Master'!A:A,'Products Master'!C:C)</f>
        <v>120000</v>
      </c>
      <c r="K314" t="str">
        <f>_xlfn.XLOOKUP(E314,'Products Master'!A:A,'Products Master'!D:D)</f>
        <v>Dell</v>
      </c>
      <c r="L314">
        <f t="shared" si="16"/>
        <v>150000</v>
      </c>
      <c r="M314">
        <f t="shared" si="17"/>
        <v>120000</v>
      </c>
      <c r="N314">
        <f t="shared" si="18"/>
        <v>30000</v>
      </c>
      <c r="O314" s="2">
        <f t="shared" si="19"/>
        <v>0.2</v>
      </c>
    </row>
    <row r="315" spans="1:15">
      <c r="A315" t="s">
        <v>658</v>
      </c>
      <c r="B315" t="s">
        <v>659</v>
      </c>
      <c r="C315" t="s">
        <v>39</v>
      </c>
      <c r="D315" t="s">
        <v>11</v>
      </c>
      <c r="E315" t="s">
        <v>24</v>
      </c>
      <c r="F315">
        <v>2</v>
      </c>
      <c r="G315">
        <v>2500</v>
      </c>
      <c r="H315" t="s">
        <v>30</v>
      </c>
      <c r="I315" t="str">
        <f>_xlfn.XLOOKUP(E315,'Products Master'!A:A,'Products Master'!B:B)</f>
        <v>Accessories</v>
      </c>
      <c r="J315">
        <f>_xlfn.XLOOKUP(E315,'Products Master'!A:A,'Products Master'!C:C)</f>
        <v>1500</v>
      </c>
      <c r="K315" t="str">
        <f>_xlfn.XLOOKUP(E315,'Products Master'!A:A,'Products Master'!D:D)</f>
        <v>Logitech</v>
      </c>
      <c r="L315">
        <f t="shared" si="16"/>
        <v>5000</v>
      </c>
      <c r="M315">
        <f t="shared" si="17"/>
        <v>3000</v>
      </c>
      <c r="N315">
        <f t="shared" si="18"/>
        <v>2000</v>
      </c>
      <c r="O315" s="2">
        <f t="shared" si="19"/>
        <v>0.4</v>
      </c>
    </row>
    <row r="316" spans="1:15">
      <c r="A316" t="s">
        <v>660</v>
      </c>
      <c r="B316" t="s">
        <v>175</v>
      </c>
      <c r="C316" t="s">
        <v>370</v>
      </c>
      <c r="D316" t="s">
        <v>111</v>
      </c>
      <c r="E316" t="s">
        <v>124</v>
      </c>
      <c r="F316">
        <v>1</v>
      </c>
      <c r="G316">
        <v>18000</v>
      </c>
      <c r="H316" t="s">
        <v>66</v>
      </c>
      <c r="I316" t="str">
        <f>_xlfn.XLOOKUP(E316,'Products Master'!A:A,'Products Master'!B:B)</f>
        <v>Storage</v>
      </c>
      <c r="J316">
        <f>_xlfn.XLOOKUP(E316,'Products Master'!A:A,'Products Master'!C:C)</f>
        <v>12000</v>
      </c>
      <c r="K316" t="str">
        <f>_xlfn.XLOOKUP(E316,'Products Master'!A:A,'Products Master'!D:D)</f>
        <v>Kingston</v>
      </c>
      <c r="L316">
        <f t="shared" si="16"/>
        <v>18000</v>
      </c>
      <c r="M316">
        <f t="shared" si="17"/>
        <v>12000</v>
      </c>
      <c r="N316">
        <f t="shared" si="18"/>
        <v>6000</v>
      </c>
      <c r="O316" s="2">
        <f t="shared" si="19"/>
        <v>0.33333333333333331</v>
      </c>
    </row>
    <row r="317" spans="1:15">
      <c r="A317" t="s">
        <v>661</v>
      </c>
      <c r="B317" t="s">
        <v>662</v>
      </c>
      <c r="C317" t="s">
        <v>48</v>
      </c>
      <c r="D317" t="s">
        <v>17</v>
      </c>
      <c r="E317" t="s">
        <v>35</v>
      </c>
      <c r="F317">
        <v>5</v>
      </c>
      <c r="G317">
        <v>2000</v>
      </c>
      <c r="H317" t="s">
        <v>30</v>
      </c>
      <c r="I317" t="str">
        <f>_xlfn.XLOOKUP(E317,'Products Master'!A:A,'Products Master'!B:B)</f>
        <v>Storage</v>
      </c>
      <c r="J317">
        <f>_xlfn.XLOOKUP(E317,'Products Master'!A:A,'Products Master'!C:C)</f>
        <v>1200</v>
      </c>
      <c r="K317" t="str">
        <f>_xlfn.XLOOKUP(E317,'Products Master'!A:A,'Products Master'!D:D)</f>
        <v>SanDisk</v>
      </c>
      <c r="L317">
        <f t="shared" si="16"/>
        <v>10000</v>
      </c>
      <c r="M317">
        <f t="shared" si="17"/>
        <v>6000</v>
      </c>
      <c r="N317">
        <f t="shared" si="18"/>
        <v>4000</v>
      </c>
      <c r="O317" s="2">
        <f t="shared" si="19"/>
        <v>0.4</v>
      </c>
    </row>
    <row r="318" spans="1:15">
      <c r="A318" t="s">
        <v>663</v>
      </c>
      <c r="B318" t="s">
        <v>664</v>
      </c>
      <c r="C318" t="s">
        <v>576</v>
      </c>
      <c r="D318" t="s">
        <v>115</v>
      </c>
      <c r="E318" t="s">
        <v>49</v>
      </c>
      <c r="F318">
        <v>5</v>
      </c>
      <c r="G318">
        <v>9500</v>
      </c>
      <c r="H318" t="s">
        <v>13</v>
      </c>
      <c r="I318" t="str">
        <f>_xlfn.XLOOKUP(E318,'Products Master'!A:A,'Products Master'!B:B)</f>
        <v>Accessories</v>
      </c>
      <c r="J318">
        <f>_xlfn.XLOOKUP(E318,'Products Master'!A:A,'Products Master'!C:C)</f>
        <v>7000</v>
      </c>
      <c r="K318" t="str">
        <f>_xlfn.XLOOKUP(E318,'Products Master'!A:A,'Products Master'!D:D)</f>
        <v>Logitech</v>
      </c>
      <c r="L318">
        <f t="shared" si="16"/>
        <v>47500</v>
      </c>
      <c r="M318">
        <f t="shared" si="17"/>
        <v>35000</v>
      </c>
      <c r="N318">
        <f t="shared" si="18"/>
        <v>12500</v>
      </c>
      <c r="O318" s="2">
        <f t="shared" si="19"/>
        <v>0.26315789473684209</v>
      </c>
    </row>
    <row r="319" spans="1:15">
      <c r="A319" t="s">
        <v>665</v>
      </c>
      <c r="B319" t="s">
        <v>666</v>
      </c>
      <c r="C319" t="s">
        <v>156</v>
      </c>
      <c r="D319" t="s">
        <v>11</v>
      </c>
      <c r="E319" t="s">
        <v>35</v>
      </c>
      <c r="F319">
        <v>3</v>
      </c>
      <c r="G319">
        <v>2000</v>
      </c>
      <c r="H319" t="s">
        <v>66</v>
      </c>
      <c r="I319" t="str">
        <f>_xlfn.XLOOKUP(E319,'Products Master'!A:A,'Products Master'!B:B)</f>
        <v>Storage</v>
      </c>
      <c r="J319">
        <f>_xlfn.XLOOKUP(E319,'Products Master'!A:A,'Products Master'!C:C)</f>
        <v>1200</v>
      </c>
      <c r="K319" t="str">
        <f>_xlfn.XLOOKUP(E319,'Products Master'!A:A,'Products Master'!D:D)</f>
        <v>SanDisk</v>
      </c>
      <c r="L319">
        <f t="shared" si="16"/>
        <v>6000</v>
      </c>
      <c r="M319">
        <f t="shared" si="17"/>
        <v>3600</v>
      </c>
      <c r="N319">
        <f t="shared" si="18"/>
        <v>2400</v>
      </c>
      <c r="O319" s="2">
        <f t="shared" si="19"/>
        <v>0.4</v>
      </c>
    </row>
    <row r="320" spans="1:15">
      <c r="A320" t="s">
        <v>667</v>
      </c>
      <c r="B320" t="s">
        <v>668</v>
      </c>
      <c r="C320" t="s">
        <v>83</v>
      </c>
      <c r="D320" t="s">
        <v>29</v>
      </c>
      <c r="E320" t="s">
        <v>12</v>
      </c>
      <c r="F320">
        <v>3</v>
      </c>
      <c r="G320">
        <v>150000</v>
      </c>
      <c r="H320" t="s">
        <v>13</v>
      </c>
      <c r="I320" t="str">
        <f>_xlfn.XLOOKUP(E320,'Products Master'!A:A,'Products Master'!B:B)</f>
        <v>Electronics</v>
      </c>
      <c r="J320">
        <f>_xlfn.XLOOKUP(E320,'Products Master'!A:A,'Products Master'!C:C)</f>
        <v>120000</v>
      </c>
      <c r="K320" t="str">
        <f>_xlfn.XLOOKUP(E320,'Products Master'!A:A,'Products Master'!D:D)</f>
        <v>Dell</v>
      </c>
      <c r="L320">
        <f t="shared" si="16"/>
        <v>450000</v>
      </c>
      <c r="M320">
        <f t="shared" si="17"/>
        <v>360000</v>
      </c>
      <c r="N320">
        <f t="shared" si="18"/>
        <v>90000</v>
      </c>
      <c r="O320" s="2">
        <f t="shared" si="19"/>
        <v>0.2</v>
      </c>
    </row>
    <row r="321" spans="1:15">
      <c r="A321" t="s">
        <v>669</v>
      </c>
      <c r="B321" t="s">
        <v>670</v>
      </c>
      <c r="C321" t="s">
        <v>454</v>
      </c>
      <c r="D321" t="s">
        <v>11</v>
      </c>
      <c r="E321" t="s">
        <v>24</v>
      </c>
      <c r="F321">
        <v>5</v>
      </c>
      <c r="G321">
        <v>2500</v>
      </c>
      <c r="H321" t="s">
        <v>30</v>
      </c>
      <c r="I321" t="str">
        <f>_xlfn.XLOOKUP(E321,'Products Master'!A:A,'Products Master'!B:B)</f>
        <v>Accessories</v>
      </c>
      <c r="J321">
        <f>_xlfn.XLOOKUP(E321,'Products Master'!A:A,'Products Master'!C:C)</f>
        <v>1500</v>
      </c>
      <c r="K321" t="str">
        <f>_xlfn.XLOOKUP(E321,'Products Master'!A:A,'Products Master'!D:D)</f>
        <v>Logitech</v>
      </c>
      <c r="L321">
        <f t="shared" si="16"/>
        <v>12500</v>
      </c>
      <c r="M321">
        <f t="shared" si="17"/>
        <v>7500</v>
      </c>
      <c r="N321">
        <f t="shared" si="18"/>
        <v>5000</v>
      </c>
      <c r="O321" s="2">
        <f t="shared" si="19"/>
        <v>0.4</v>
      </c>
    </row>
    <row r="322" spans="1:15">
      <c r="A322" t="s">
        <v>671</v>
      </c>
      <c r="B322" t="s">
        <v>87</v>
      </c>
      <c r="C322" t="s">
        <v>491</v>
      </c>
      <c r="D322" t="s">
        <v>34</v>
      </c>
      <c r="E322" t="s">
        <v>99</v>
      </c>
      <c r="F322">
        <v>3</v>
      </c>
      <c r="G322">
        <v>5000</v>
      </c>
      <c r="H322" t="s">
        <v>66</v>
      </c>
      <c r="I322" t="str">
        <f>_xlfn.XLOOKUP(E322,'Products Master'!A:A,'Products Master'!B:B)</f>
        <v>Accessories</v>
      </c>
      <c r="J322">
        <f>_xlfn.XLOOKUP(E322,'Products Master'!A:A,'Products Master'!C:C)</f>
        <v>3500</v>
      </c>
      <c r="K322" t="str">
        <f>_xlfn.XLOOKUP(E322,'Products Master'!A:A,'Products Master'!D:D)</f>
        <v>Logitech</v>
      </c>
      <c r="L322">
        <f t="shared" si="16"/>
        <v>15000</v>
      </c>
      <c r="M322">
        <f t="shared" si="17"/>
        <v>10500</v>
      </c>
      <c r="N322">
        <f t="shared" si="18"/>
        <v>4500</v>
      </c>
      <c r="O322" s="2">
        <f t="shared" si="19"/>
        <v>0.3</v>
      </c>
    </row>
    <row r="323" spans="1:15">
      <c r="A323" t="s">
        <v>672</v>
      </c>
      <c r="B323" t="s">
        <v>639</v>
      </c>
      <c r="C323" t="s">
        <v>466</v>
      </c>
      <c r="D323" t="s">
        <v>29</v>
      </c>
      <c r="E323" t="s">
        <v>12</v>
      </c>
      <c r="F323">
        <v>5</v>
      </c>
      <c r="G323">
        <v>150000</v>
      </c>
      <c r="H323" t="s">
        <v>41</v>
      </c>
      <c r="I323" t="str">
        <f>_xlfn.XLOOKUP(E323,'Products Master'!A:A,'Products Master'!B:B)</f>
        <v>Electronics</v>
      </c>
      <c r="J323">
        <f>_xlfn.XLOOKUP(E323,'Products Master'!A:A,'Products Master'!C:C)</f>
        <v>120000</v>
      </c>
      <c r="K323" t="str">
        <f>_xlfn.XLOOKUP(E323,'Products Master'!A:A,'Products Master'!D:D)</f>
        <v>Dell</v>
      </c>
      <c r="L323">
        <f t="shared" ref="L323:L386" si="20">F323*G323</f>
        <v>750000</v>
      </c>
      <c r="M323">
        <f t="shared" ref="M323:M386" si="21">F323*J323</f>
        <v>600000</v>
      </c>
      <c r="N323">
        <f t="shared" ref="N323:N386" si="22">L323-M323</f>
        <v>150000</v>
      </c>
      <c r="O323" s="2">
        <f t="shared" ref="O323:O386" si="23">N323/L323</f>
        <v>0.2</v>
      </c>
    </row>
    <row r="324" spans="1:15">
      <c r="A324" t="s">
        <v>673</v>
      </c>
      <c r="B324" t="s">
        <v>674</v>
      </c>
      <c r="C324" t="s">
        <v>422</v>
      </c>
      <c r="D324" t="s">
        <v>17</v>
      </c>
      <c r="E324" t="s">
        <v>179</v>
      </c>
      <c r="F324">
        <v>3</v>
      </c>
      <c r="G324">
        <v>80000</v>
      </c>
      <c r="H324" t="s">
        <v>25</v>
      </c>
      <c r="I324" t="str">
        <f>_xlfn.XLOOKUP(E324,'Products Master'!A:A,'Products Master'!B:B)</f>
        <v>Electronics</v>
      </c>
      <c r="J324">
        <f>_xlfn.XLOOKUP(E324,'Products Master'!A:A,'Products Master'!C:C)</f>
        <v>65000</v>
      </c>
      <c r="K324" t="str">
        <f>_xlfn.XLOOKUP(E324,'Products Master'!A:A,'Products Master'!D:D)</f>
        <v>Samsung</v>
      </c>
      <c r="L324">
        <f t="shared" si="20"/>
        <v>240000</v>
      </c>
      <c r="M324">
        <f t="shared" si="21"/>
        <v>195000</v>
      </c>
      <c r="N324">
        <f t="shared" si="22"/>
        <v>45000</v>
      </c>
      <c r="O324" s="2">
        <f t="shared" si="23"/>
        <v>0.1875</v>
      </c>
    </row>
    <row r="325" spans="1:15">
      <c r="A325" t="s">
        <v>675</v>
      </c>
      <c r="B325" t="s">
        <v>641</v>
      </c>
      <c r="C325" t="s">
        <v>83</v>
      </c>
      <c r="D325" t="s">
        <v>23</v>
      </c>
      <c r="E325" t="s">
        <v>179</v>
      </c>
      <c r="F325">
        <v>4</v>
      </c>
      <c r="G325">
        <v>80000</v>
      </c>
      <c r="H325" t="s">
        <v>41</v>
      </c>
      <c r="I325" t="str">
        <f>_xlfn.XLOOKUP(E325,'Products Master'!A:A,'Products Master'!B:B)</f>
        <v>Electronics</v>
      </c>
      <c r="J325">
        <f>_xlfn.XLOOKUP(E325,'Products Master'!A:A,'Products Master'!C:C)</f>
        <v>65000</v>
      </c>
      <c r="K325" t="str">
        <f>_xlfn.XLOOKUP(E325,'Products Master'!A:A,'Products Master'!D:D)</f>
        <v>Samsung</v>
      </c>
      <c r="L325">
        <f t="shared" si="20"/>
        <v>320000</v>
      </c>
      <c r="M325">
        <f t="shared" si="21"/>
        <v>260000</v>
      </c>
      <c r="N325">
        <f t="shared" si="22"/>
        <v>60000</v>
      </c>
      <c r="O325" s="2">
        <f t="shared" si="23"/>
        <v>0.1875</v>
      </c>
    </row>
    <row r="326" spans="1:15">
      <c r="A326" t="s">
        <v>676</v>
      </c>
      <c r="B326" t="s">
        <v>677</v>
      </c>
      <c r="C326" t="s">
        <v>57</v>
      </c>
      <c r="D326" t="s">
        <v>111</v>
      </c>
      <c r="E326" t="s">
        <v>18</v>
      </c>
      <c r="F326">
        <v>2</v>
      </c>
      <c r="G326">
        <v>45000</v>
      </c>
      <c r="H326" t="s">
        <v>30</v>
      </c>
      <c r="I326" t="str">
        <f>_xlfn.XLOOKUP(E326,'Products Master'!A:A,'Products Master'!B:B)</f>
        <v>Electronics</v>
      </c>
      <c r="J326">
        <f>_xlfn.XLOOKUP(E326,'Products Master'!A:A,'Products Master'!C:C)</f>
        <v>35000</v>
      </c>
      <c r="K326" t="str">
        <f>_xlfn.XLOOKUP(E326,'Products Master'!A:A,'Products Master'!D:D)</f>
        <v>HP</v>
      </c>
      <c r="L326">
        <f t="shared" si="20"/>
        <v>90000</v>
      </c>
      <c r="M326">
        <f t="shared" si="21"/>
        <v>70000</v>
      </c>
      <c r="N326">
        <f t="shared" si="22"/>
        <v>20000</v>
      </c>
      <c r="O326" s="2">
        <f t="shared" si="23"/>
        <v>0.22222222222222221</v>
      </c>
    </row>
    <row r="327" spans="1:15">
      <c r="A327" t="s">
        <v>678</v>
      </c>
      <c r="B327" t="s">
        <v>93</v>
      </c>
      <c r="C327" t="s">
        <v>226</v>
      </c>
      <c r="D327" t="s">
        <v>11</v>
      </c>
      <c r="E327" t="s">
        <v>54</v>
      </c>
      <c r="F327">
        <v>1</v>
      </c>
      <c r="G327">
        <v>7000</v>
      </c>
      <c r="H327" t="s">
        <v>13</v>
      </c>
      <c r="I327" t="str">
        <f>_xlfn.XLOOKUP(E327,'Products Master'!A:A,'Products Master'!B:B)</f>
        <v>Accessories</v>
      </c>
      <c r="J327">
        <f>_xlfn.XLOOKUP(E327,'Products Master'!A:A,'Products Master'!C:C)</f>
        <v>5000</v>
      </c>
      <c r="K327" t="str">
        <f>_xlfn.XLOOKUP(E327,'Products Master'!A:A,'Products Master'!D:D)</f>
        <v>Sony</v>
      </c>
      <c r="L327">
        <f t="shared" si="20"/>
        <v>7000</v>
      </c>
      <c r="M327">
        <f t="shared" si="21"/>
        <v>5000</v>
      </c>
      <c r="N327">
        <f t="shared" si="22"/>
        <v>2000</v>
      </c>
      <c r="O327" s="2">
        <f t="shared" si="23"/>
        <v>0.2857142857142857</v>
      </c>
    </row>
    <row r="328" spans="1:15">
      <c r="A328" t="s">
        <v>679</v>
      </c>
      <c r="B328" t="s">
        <v>680</v>
      </c>
      <c r="C328" t="s">
        <v>194</v>
      </c>
      <c r="D328" t="s">
        <v>111</v>
      </c>
      <c r="E328" t="s">
        <v>35</v>
      </c>
      <c r="F328">
        <v>1</v>
      </c>
      <c r="G328">
        <v>2000</v>
      </c>
      <c r="H328" t="s">
        <v>19</v>
      </c>
      <c r="I328" t="str">
        <f>_xlfn.XLOOKUP(E328,'Products Master'!A:A,'Products Master'!B:B)</f>
        <v>Storage</v>
      </c>
      <c r="J328">
        <f>_xlfn.XLOOKUP(E328,'Products Master'!A:A,'Products Master'!C:C)</f>
        <v>1200</v>
      </c>
      <c r="K328" t="str">
        <f>_xlfn.XLOOKUP(E328,'Products Master'!A:A,'Products Master'!D:D)</f>
        <v>SanDisk</v>
      </c>
      <c r="L328">
        <f t="shared" si="20"/>
        <v>2000</v>
      </c>
      <c r="M328">
        <f t="shared" si="21"/>
        <v>1200</v>
      </c>
      <c r="N328">
        <f t="shared" si="22"/>
        <v>800</v>
      </c>
      <c r="O328" s="2">
        <f t="shared" si="23"/>
        <v>0.4</v>
      </c>
    </row>
    <row r="329" spans="1:15">
      <c r="A329" t="s">
        <v>681</v>
      </c>
      <c r="B329" t="s">
        <v>449</v>
      </c>
      <c r="C329" t="s">
        <v>173</v>
      </c>
      <c r="D329" t="s">
        <v>23</v>
      </c>
      <c r="E329" t="s">
        <v>24</v>
      </c>
      <c r="F329">
        <v>4</v>
      </c>
      <c r="G329">
        <v>2500</v>
      </c>
      <c r="H329" t="s">
        <v>13</v>
      </c>
      <c r="I329" t="str">
        <f>_xlfn.XLOOKUP(E329,'Products Master'!A:A,'Products Master'!B:B)</f>
        <v>Accessories</v>
      </c>
      <c r="J329">
        <f>_xlfn.XLOOKUP(E329,'Products Master'!A:A,'Products Master'!C:C)</f>
        <v>1500</v>
      </c>
      <c r="K329" t="str">
        <f>_xlfn.XLOOKUP(E329,'Products Master'!A:A,'Products Master'!D:D)</f>
        <v>Logitech</v>
      </c>
      <c r="L329">
        <f t="shared" si="20"/>
        <v>10000</v>
      </c>
      <c r="M329">
        <f t="shared" si="21"/>
        <v>6000</v>
      </c>
      <c r="N329">
        <f t="shared" si="22"/>
        <v>4000</v>
      </c>
      <c r="O329" s="2">
        <f t="shared" si="23"/>
        <v>0.4</v>
      </c>
    </row>
    <row r="330" spans="1:15">
      <c r="A330" t="s">
        <v>682</v>
      </c>
      <c r="B330" t="s">
        <v>439</v>
      </c>
      <c r="C330" t="s">
        <v>156</v>
      </c>
      <c r="D330" t="s">
        <v>29</v>
      </c>
      <c r="E330" t="s">
        <v>124</v>
      </c>
      <c r="F330">
        <v>4</v>
      </c>
      <c r="G330">
        <v>18000</v>
      </c>
      <c r="H330" t="s">
        <v>95</v>
      </c>
      <c r="I330" t="str">
        <f>_xlfn.XLOOKUP(E330,'Products Master'!A:A,'Products Master'!B:B)</f>
        <v>Storage</v>
      </c>
      <c r="J330">
        <f>_xlfn.XLOOKUP(E330,'Products Master'!A:A,'Products Master'!C:C)</f>
        <v>12000</v>
      </c>
      <c r="K330" t="str">
        <f>_xlfn.XLOOKUP(E330,'Products Master'!A:A,'Products Master'!D:D)</f>
        <v>Kingston</v>
      </c>
      <c r="L330">
        <f t="shared" si="20"/>
        <v>72000</v>
      </c>
      <c r="M330">
        <f t="shared" si="21"/>
        <v>48000</v>
      </c>
      <c r="N330">
        <f t="shared" si="22"/>
        <v>24000</v>
      </c>
      <c r="O330" s="2">
        <f t="shared" si="23"/>
        <v>0.33333333333333331</v>
      </c>
    </row>
    <row r="331" spans="1:15">
      <c r="A331" t="s">
        <v>683</v>
      </c>
      <c r="B331" t="s">
        <v>497</v>
      </c>
      <c r="C331" t="s">
        <v>403</v>
      </c>
      <c r="D331" t="s">
        <v>17</v>
      </c>
      <c r="E331" t="s">
        <v>18</v>
      </c>
      <c r="F331">
        <v>1</v>
      </c>
      <c r="G331">
        <v>45000</v>
      </c>
      <c r="H331" t="s">
        <v>19</v>
      </c>
      <c r="I331" t="str">
        <f>_xlfn.XLOOKUP(E331,'Products Master'!A:A,'Products Master'!B:B)</f>
        <v>Electronics</v>
      </c>
      <c r="J331">
        <f>_xlfn.XLOOKUP(E331,'Products Master'!A:A,'Products Master'!C:C)</f>
        <v>35000</v>
      </c>
      <c r="K331" t="str">
        <f>_xlfn.XLOOKUP(E331,'Products Master'!A:A,'Products Master'!D:D)</f>
        <v>HP</v>
      </c>
      <c r="L331">
        <f t="shared" si="20"/>
        <v>45000</v>
      </c>
      <c r="M331">
        <f t="shared" si="21"/>
        <v>35000</v>
      </c>
      <c r="N331">
        <f t="shared" si="22"/>
        <v>10000</v>
      </c>
      <c r="O331" s="2">
        <f t="shared" si="23"/>
        <v>0.22222222222222221</v>
      </c>
    </row>
    <row r="332" spans="1:15">
      <c r="A332" t="s">
        <v>684</v>
      </c>
      <c r="B332" t="s">
        <v>685</v>
      </c>
      <c r="C332" t="s">
        <v>536</v>
      </c>
      <c r="D332" t="s">
        <v>115</v>
      </c>
      <c r="E332" t="s">
        <v>124</v>
      </c>
      <c r="F332">
        <v>3</v>
      </c>
      <c r="G332">
        <v>18000</v>
      </c>
      <c r="H332" t="s">
        <v>50</v>
      </c>
      <c r="I332" t="str">
        <f>_xlfn.XLOOKUP(E332,'Products Master'!A:A,'Products Master'!B:B)</f>
        <v>Storage</v>
      </c>
      <c r="J332">
        <f>_xlfn.XLOOKUP(E332,'Products Master'!A:A,'Products Master'!C:C)</f>
        <v>12000</v>
      </c>
      <c r="K332" t="str">
        <f>_xlfn.XLOOKUP(E332,'Products Master'!A:A,'Products Master'!D:D)</f>
        <v>Kingston</v>
      </c>
      <c r="L332">
        <f t="shared" si="20"/>
        <v>54000</v>
      </c>
      <c r="M332">
        <f t="shared" si="21"/>
        <v>36000</v>
      </c>
      <c r="N332">
        <f t="shared" si="22"/>
        <v>18000</v>
      </c>
      <c r="O332" s="2">
        <f t="shared" si="23"/>
        <v>0.33333333333333331</v>
      </c>
    </row>
    <row r="333" spans="1:15">
      <c r="A333" t="s">
        <v>686</v>
      </c>
      <c r="B333" t="s">
        <v>393</v>
      </c>
      <c r="C333" t="s">
        <v>536</v>
      </c>
      <c r="D333" t="s">
        <v>115</v>
      </c>
      <c r="E333" t="s">
        <v>179</v>
      </c>
      <c r="F333">
        <v>3</v>
      </c>
      <c r="G333">
        <v>80000</v>
      </c>
      <c r="H333" t="s">
        <v>30</v>
      </c>
      <c r="I333" t="str">
        <f>_xlfn.XLOOKUP(E333,'Products Master'!A:A,'Products Master'!B:B)</f>
        <v>Electronics</v>
      </c>
      <c r="J333">
        <f>_xlfn.XLOOKUP(E333,'Products Master'!A:A,'Products Master'!C:C)</f>
        <v>65000</v>
      </c>
      <c r="K333" t="str">
        <f>_xlfn.XLOOKUP(E333,'Products Master'!A:A,'Products Master'!D:D)</f>
        <v>Samsung</v>
      </c>
      <c r="L333">
        <f t="shared" si="20"/>
        <v>240000</v>
      </c>
      <c r="M333">
        <f t="shared" si="21"/>
        <v>195000</v>
      </c>
      <c r="N333">
        <f t="shared" si="22"/>
        <v>45000</v>
      </c>
      <c r="O333" s="2">
        <f t="shared" si="23"/>
        <v>0.1875</v>
      </c>
    </row>
    <row r="334" spans="1:15">
      <c r="A334" t="s">
        <v>687</v>
      </c>
      <c r="B334" t="s">
        <v>551</v>
      </c>
      <c r="C334" t="s">
        <v>44</v>
      </c>
      <c r="D334" t="s">
        <v>45</v>
      </c>
      <c r="E334" t="s">
        <v>35</v>
      </c>
      <c r="F334">
        <v>2</v>
      </c>
      <c r="G334">
        <v>2000</v>
      </c>
      <c r="H334" t="s">
        <v>41</v>
      </c>
      <c r="I334" t="str">
        <f>_xlfn.XLOOKUP(E334,'Products Master'!A:A,'Products Master'!B:B)</f>
        <v>Storage</v>
      </c>
      <c r="J334">
        <f>_xlfn.XLOOKUP(E334,'Products Master'!A:A,'Products Master'!C:C)</f>
        <v>1200</v>
      </c>
      <c r="K334" t="str">
        <f>_xlfn.XLOOKUP(E334,'Products Master'!A:A,'Products Master'!D:D)</f>
        <v>SanDisk</v>
      </c>
      <c r="L334">
        <f t="shared" si="20"/>
        <v>4000</v>
      </c>
      <c r="M334">
        <f t="shared" si="21"/>
        <v>2400</v>
      </c>
      <c r="N334">
        <f t="shared" si="22"/>
        <v>1600</v>
      </c>
      <c r="O334" s="2">
        <f t="shared" si="23"/>
        <v>0.4</v>
      </c>
    </row>
    <row r="335" spans="1:15">
      <c r="A335" t="s">
        <v>688</v>
      </c>
      <c r="B335" t="s">
        <v>464</v>
      </c>
      <c r="C335" t="s">
        <v>39</v>
      </c>
      <c r="D335" t="s">
        <v>111</v>
      </c>
      <c r="E335" t="s">
        <v>54</v>
      </c>
      <c r="F335">
        <v>5</v>
      </c>
      <c r="G335">
        <v>7000</v>
      </c>
      <c r="H335" t="s">
        <v>19</v>
      </c>
      <c r="I335" t="str">
        <f>_xlfn.XLOOKUP(E335,'Products Master'!A:A,'Products Master'!B:B)</f>
        <v>Accessories</v>
      </c>
      <c r="J335">
        <f>_xlfn.XLOOKUP(E335,'Products Master'!A:A,'Products Master'!C:C)</f>
        <v>5000</v>
      </c>
      <c r="K335" t="str">
        <f>_xlfn.XLOOKUP(E335,'Products Master'!A:A,'Products Master'!D:D)</f>
        <v>Sony</v>
      </c>
      <c r="L335">
        <f t="shared" si="20"/>
        <v>35000</v>
      </c>
      <c r="M335">
        <f t="shared" si="21"/>
        <v>25000</v>
      </c>
      <c r="N335">
        <f t="shared" si="22"/>
        <v>10000</v>
      </c>
      <c r="O335" s="2">
        <f t="shared" si="23"/>
        <v>0.2857142857142857</v>
      </c>
    </row>
    <row r="336" spans="1:15">
      <c r="A336" t="s">
        <v>689</v>
      </c>
      <c r="B336" t="s">
        <v>193</v>
      </c>
      <c r="C336" t="s">
        <v>285</v>
      </c>
      <c r="D336" t="s">
        <v>29</v>
      </c>
      <c r="E336" t="s">
        <v>179</v>
      </c>
      <c r="F336">
        <v>5</v>
      </c>
      <c r="G336">
        <v>80000</v>
      </c>
      <c r="H336" t="s">
        <v>25</v>
      </c>
      <c r="I336" t="str">
        <f>_xlfn.XLOOKUP(E336,'Products Master'!A:A,'Products Master'!B:B)</f>
        <v>Electronics</v>
      </c>
      <c r="J336">
        <f>_xlfn.XLOOKUP(E336,'Products Master'!A:A,'Products Master'!C:C)</f>
        <v>65000</v>
      </c>
      <c r="K336" t="str">
        <f>_xlfn.XLOOKUP(E336,'Products Master'!A:A,'Products Master'!D:D)</f>
        <v>Samsung</v>
      </c>
      <c r="L336">
        <f t="shared" si="20"/>
        <v>400000</v>
      </c>
      <c r="M336">
        <f t="shared" si="21"/>
        <v>325000</v>
      </c>
      <c r="N336">
        <f t="shared" si="22"/>
        <v>75000</v>
      </c>
      <c r="O336" s="2">
        <f t="shared" si="23"/>
        <v>0.1875</v>
      </c>
    </row>
    <row r="337" spans="1:15">
      <c r="A337" t="s">
        <v>690</v>
      </c>
      <c r="B337" t="s">
        <v>691</v>
      </c>
      <c r="C337" t="s">
        <v>140</v>
      </c>
      <c r="D337" t="s">
        <v>45</v>
      </c>
      <c r="E337" t="s">
        <v>99</v>
      </c>
      <c r="F337">
        <v>2</v>
      </c>
      <c r="G337">
        <v>5000</v>
      </c>
      <c r="H337" t="s">
        <v>25</v>
      </c>
      <c r="I337" t="str">
        <f>_xlfn.XLOOKUP(E337,'Products Master'!A:A,'Products Master'!B:B)</f>
        <v>Accessories</v>
      </c>
      <c r="J337">
        <f>_xlfn.XLOOKUP(E337,'Products Master'!A:A,'Products Master'!C:C)</f>
        <v>3500</v>
      </c>
      <c r="K337" t="str">
        <f>_xlfn.XLOOKUP(E337,'Products Master'!A:A,'Products Master'!D:D)</f>
        <v>Logitech</v>
      </c>
      <c r="L337">
        <f t="shared" si="20"/>
        <v>10000</v>
      </c>
      <c r="M337">
        <f t="shared" si="21"/>
        <v>7000</v>
      </c>
      <c r="N337">
        <f t="shared" si="22"/>
        <v>3000</v>
      </c>
      <c r="O337" s="2">
        <f t="shared" si="23"/>
        <v>0.3</v>
      </c>
    </row>
    <row r="338" spans="1:15">
      <c r="A338" t="s">
        <v>692</v>
      </c>
      <c r="B338" t="s">
        <v>65</v>
      </c>
      <c r="C338" t="s">
        <v>502</v>
      </c>
      <c r="D338" t="s">
        <v>23</v>
      </c>
      <c r="E338" t="s">
        <v>124</v>
      </c>
      <c r="F338">
        <v>4</v>
      </c>
      <c r="G338">
        <v>18000</v>
      </c>
      <c r="H338" t="s">
        <v>95</v>
      </c>
      <c r="I338" t="str">
        <f>_xlfn.XLOOKUP(E338,'Products Master'!A:A,'Products Master'!B:B)</f>
        <v>Storage</v>
      </c>
      <c r="J338">
        <f>_xlfn.XLOOKUP(E338,'Products Master'!A:A,'Products Master'!C:C)</f>
        <v>12000</v>
      </c>
      <c r="K338" t="str">
        <f>_xlfn.XLOOKUP(E338,'Products Master'!A:A,'Products Master'!D:D)</f>
        <v>Kingston</v>
      </c>
      <c r="L338">
        <f t="shared" si="20"/>
        <v>72000</v>
      </c>
      <c r="M338">
        <f t="shared" si="21"/>
        <v>48000</v>
      </c>
      <c r="N338">
        <f t="shared" si="22"/>
        <v>24000</v>
      </c>
      <c r="O338" s="2">
        <f t="shared" si="23"/>
        <v>0.33333333333333331</v>
      </c>
    </row>
    <row r="339" spans="1:15">
      <c r="A339" t="s">
        <v>693</v>
      </c>
      <c r="B339" t="s">
        <v>694</v>
      </c>
      <c r="C339" t="s">
        <v>176</v>
      </c>
      <c r="D339" t="s">
        <v>11</v>
      </c>
      <c r="E339" t="s">
        <v>179</v>
      </c>
      <c r="F339">
        <v>3</v>
      </c>
      <c r="G339">
        <v>80000</v>
      </c>
      <c r="H339" t="s">
        <v>36</v>
      </c>
      <c r="I339" t="str">
        <f>_xlfn.XLOOKUP(E339,'Products Master'!A:A,'Products Master'!B:B)</f>
        <v>Electronics</v>
      </c>
      <c r="J339">
        <f>_xlfn.XLOOKUP(E339,'Products Master'!A:A,'Products Master'!C:C)</f>
        <v>65000</v>
      </c>
      <c r="K339" t="str">
        <f>_xlfn.XLOOKUP(E339,'Products Master'!A:A,'Products Master'!D:D)</f>
        <v>Samsung</v>
      </c>
      <c r="L339">
        <f t="shared" si="20"/>
        <v>240000</v>
      </c>
      <c r="M339">
        <f t="shared" si="21"/>
        <v>195000</v>
      </c>
      <c r="N339">
        <f t="shared" si="22"/>
        <v>45000</v>
      </c>
      <c r="O339" s="2">
        <f t="shared" si="23"/>
        <v>0.1875</v>
      </c>
    </row>
    <row r="340" spans="1:15">
      <c r="A340" t="s">
        <v>695</v>
      </c>
      <c r="B340" t="s">
        <v>461</v>
      </c>
      <c r="C340" t="s">
        <v>186</v>
      </c>
      <c r="D340" t="s">
        <v>115</v>
      </c>
      <c r="E340" t="s">
        <v>18</v>
      </c>
      <c r="F340">
        <v>5</v>
      </c>
      <c r="G340">
        <v>45000</v>
      </c>
      <c r="H340" t="s">
        <v>30</v>
      </c>
      <c r="I340" t="str">
        <f>_xlfn.XLOOKUP(E340,'Products Master'!A:A,'Products Master'!B:B)</f>
        <v>Electronics</v>
      </c>
      <c r="J340">
        <f>_xlfn.XLOOKUP(E340,'Products Master'!A:A,'Products Master'!C:C)</f>
        <v>35000</v>
      </c>
      <c r="K340" t="str">
        <f>_xlfn.XLOOKUP(E340,'Products Master'!A:A,'Products Master'!D:D)</f>
        <v>HP</v>
      </c>
      <c r="L340">
        <f t="shared" si="20"/>
        <v>225000</v>
      </c>
      <c r="M340">
        <f t="shared" si="21"/>
        <v>175000</v>
      </c>
      <c r="N340">
        <f t="shared" si="22"/>
        <v>50000</v>
      </c>
      <c r="O340" s="2">
        <f t="shared" si="23"/>
        <v>0.22222222222222221</v>
      </c>
    </row>
    <row r="341" spans="1:15">
      <c r="A341" t="s">
        <v>696</v>
      </c>
      <c r="B341" t="s">
        <v>606</v>
      </c>
      <c r="C341" t="s">
        <v>697</v>
      </c>
      <c r="D341" t="s">
        <v>23</v>
      </c>
      <c r="E341" t="s">
        <v>35</v>
      </c>
      <c r="F341">
        <v>3</v>
      </c>
      <c r="G341">
        <v>2000</v>
      </c>
      <c r="H341" t="s">
        <v>41</v>
      </c>
      <c r="I341" t="str">
        <f>_xlfn.XLOOKUP(E341,'Products Master'!A:A,'Products Master'!B:B)</f>
        <v>Storage</v>
      </c>
      <c r="J341">
        <f>_xlfn.XLOOKUP(E341,'Products Master'!A:A,'Products Master'!C:C)</f>
        <v>1200</v>
      </c>
      <c r="K341" t="str">
        <f>_xlfn.XLOOKUP(E341,'Products Master'!A:A,'Products Master'!D:D)</f>
        <v>SanDisk</v>
      </c>
      <c r="L341">
        <f t="shared" si="20"/>
        <v>6000</v>
      </c>
      <c r="M341">
        <f t="shared" si="21"/>
        <v>3600</v>
      </c>
      <c r="N341">
        <f t="shared" si="22"/>
        <v>2400</v>
      </c>
      <c r="O341" s="2">
        <f t="shared" si="23"/>
        <v>0.4</v>
      </c>
    </row>
    <row r="342" spans="1:15">
      <c r="A342" t="s">
        <v>698</v>
      </c>
      <c r="B342" t="s">
        <v>699</v>
      </c>
      <c r="C342" t="s">
        <v>697</v>
      </c>
      <c r="D342" t="s">
        <v>11</v>
      </c>
      <c r="E342" t="s">
        <v>124</v>
      </c>
      <c r="F342">
        <v>2</v>
      </c>
      <c r="G342">
        <v>18000</v>
      </c>
      <c r="H342" t="s">
        <v>13</v>
      </c>
      <c r="I342" t="str">
        <f>_xlfn.XLOOKUP(E342,'Products Master'!A:A,'Products Master'!B:B)</f>
        <v>Storage</v>
      </c>
      <c r="J342">
        <f>_xlfn.XLOOKUP(E342,'Products Master'!A:A,'Products Master'!C:C)</f>
        <v>12000</v>
      </c>
      <c r="K342" t="str">
        <f>_xlfn.XLOOKUP(E342,'Products Master'!A:A,'Products Master'!D:D)</f>
        <v>Kingston</v>
      </c>
      <c r="L342">
        <f t="shared" si="20"/>
        <v>36000</v>
      </c>
      <c r="M342">
        <f t="shared" si="21"/>
        <v>24000</v>
      </c>
      <c r="N342">
        <f t="shared" si="22"/>
        <v>12000</v>
      </c>
      <c r="O342" s="2">
        <f t="shared" si="23"/>
        <v>0.33333333333333331</v>
      </c>
    </row>
    <row r="343" spans="1:15">
      <c r="A343" t="s">
        <v>700</v>
      </c>
      <c r="B343" t="s">
        <v>464</v>
      </c>
      <c r="C343" t="s">
        <v>147</v>
      </c>
      <c r="D343" t="s">
        <v>115</v>
      </c>
      <c r="E343" t="s">
        <v>18</v>
      </c>
      <c r="F343">
        <v>1</v>
      </c>
      <c r="G343">
        <v>45000</v>
      </c>
      <c r="H343" t="s">
        <v>30</v>
      </c>
      <c r="I343" t="str">
        <f>_xlfn.XLOOKUP(E343,'Products Master'!A:A,'Products Master'!B:B)</f>
        <v>Electronics</v>
      </c>
      <c r="J343">
        <f>_xlfn.XLOOKUP(E343,'Products Master'!A:A,'Products Master'!C:C)</f>
        <v>35000</v>
      </c>
      <c r="K343" t="str">
        <f>_xlfn.XLOOKUP(E343,'Products Master'!A:A,'Products Master'!D:D)</f>
        <v>HP</v>
      </c>
      <c r="L343">
        <f t="shared" si="20"/>
        <v>45000</v>
      </c>
      <c r="M343">
        <f t="shared" si="21"/>
        <v>35000</v>
      </c>
      <c r="N343">
        <f t="shared" si="22"/>
        <v>10000</v>
      </c>
      <c r="O343" s="2">
        <f t="shared" si="23"/>
        <v>0.22222222222222221</v>
      </c>
    </row>
    <row r="344" spans="1:15">
      <c r="A344" t="s">
        <v>701</v>
      </c>
      <c r="B344" t="s">
        <v>702</v>
      </c>
      <c r="C344" t="s">
        <v>703</v>
      </c>
      <c r="D344" t="s">
        <v>11</v>
      </c>
      <c r="E344" t="s">
        <v>54</v>
      </c>
      <c r="F344">
        <v>2</v>
      </c>
      <c r="G344">
        <v>7000</v>
      </c>
      <c r="H344" t="s">
        <v>19</v>
      </c>
      <c r="I344" t="str">
        <f>_xlfn.XLOOKUP(E344,'Products Master'!A:A,'Products Master'!B:B)</f>
        <v>Accessories</v>
      </c>
      <c r="J344">
        <f>_xlfn.XLOOKUP(E344,'Products Master'!A:A,'Products Master'!C:C)</f>
        <v>5000</v>
      </c>
      <c r="K344" t="str">
        <f>_xlfn.XLOOKUP(E344,'Products Master'!A:A,'Products Master'!D:D)</f>
        <v>Sony</v>
      </c>
      <c r="L344">
        <f t="shared" si="20"/>
        <v>14000</v>
      </c>
      <c r="M344">
        <f t="shared" si="21"/>
        <v>10000</v>
      </c>
      <c r="N344">
        <f t="shared" si="22"/>
        <v>4000</v>
      </c>
      <c r="O344" s="2">
        <f t="shared" si="23"/>
        <v>0.2857142857142857</v>
      </c>
    </row>
    <row r="345" spans="1:15">
      <c r="A345" t="s">
        <v>704</v>
      </c>
      <c r="B345" t="s">
        <v>705</v>
      </c>
      <c r="C345" t="s">
        <v>212</v>
      </c>
      <c r="D345" t="s">
        <v>45</v>
      </c>
      <c r="E345" t="s">
        <v>54</v>
      </c>
      <c r="F345">
        <v>5</v>
      </c>
      <c r="G345">
        <v>7000</v>
      </c>
      <c r="H345" t="s">
        <v>25</v>
      </c>
      <c r="I345" t="str">
        <f>_xlfn.XLOOKUP(E345,'Products Master'!A:A,'Products Master'!B:B)</f>
        <v>Accessories</v>
      </c>
      <c r="J345">
        <f>_xlfn.XLOOKUP(E345,'Products Master'!A:A,'Products Master'!C:C)</f>
        <v>5000</v>
      </c>
      <c r="K345" t="str">
        <f>_xlfn.XLOOKUP(E345,'Products Master'!A:A,'Products Master'!D:D)</f>
        <v>Sony</v>
      </c>
      <c r="L345">
        <f t="shared" si="20"/>
        <v>35000</v>
      </c>
      <c r="M345">
        <f t="shared" si="21"/>
        <v>25000</v>
      </c>
      <c r="N345">
        <f t="shared" si="22"/>
        <v>10000</v>
      </c>
      <c r="O345" s="2">
        <f t="shared" si="23"/>
        <v>0.2857142857142857</v>
      </c>
    </row>
    <row r="346" spans="1:15">
      <c r="A346" t="s">
        <v>706</v>
      </c>
      <c r="B346" t="s">
        <v>707</v>
      </c>
      <c r="C346" t="s">
        <v>80</v>
      </c>
      <c r="D346" t="s">
        <v>23</v>
      </c>
      <c r="E346" t="s">
        <v>35</v>
      </c>
      <c r="F346">
        <v>5</v>
      </c>
      <c r="G346">
        <v>2000</v>
      </c>
      <c r="H346" t="s">
        <v>19</v>
      </c>
      <c r="I346" t="str">
        <f>_xlfn.XLOOKUP(E346,'Products Master'!A:A,'Products Master'!B:B)</f>
        <v>Storage</v>
      </c>
      <c r="J346">
        <f>_xlfn.XLOOKUP(E346,'Products Master'!A:A,'Products Master'!C:C)</f>
        <v>1200</v>
      </c>
      <c r="K346" t="str">
        <f>_xlfn.XLOOKUP(E346,'Products Master'!A:A,'Products Master'!D:D)</f>
        <v>SanDisk</v>
      </c>
      <c r="L346">
        <f t="shared" si="20"/>
        <v>10000</v>
      </c>
      <c r="M346">
        <f t="shared" si="21"/>
        <v>6000</v>
      </c>
      <c r="N346">
        <f t="shared" si="22"/>
        <v>4000</v>
      </c>
      <c r="O346" s="2">
        <f t="shared" si="23"/>
        <v>0.4</v>
      </c>
    </row>
    <row r="347" spans="1:15">
      <c r="A347" t="s">
        <v>708</v>
      </c>
      <c r="B347" t="s">
        <v>590</v>
      </c>
      <c r="C347" t="s">
        <v>44</v>
      </c>
      <c r="D347" t="s">
        <v>11</v>
      </c>
      <c r="E347" t="s">
        <v>179</v>
      </c>
      <c r="F347">
        <v>3</v>
      </c>
      <c r="G347">
        <v>80000</v>
      </c>
      <c r="H347" t="s">
        <v>95</v>
      </c>
      <c r="I347" t="str">
        <f>_xlfn.XLOOKUP(E347,'Products Master'!A:A,'Products Master'!B:B)</f>
        <v>Electronics</v>
      </c>
      <c r="J347">
        <f>_xlfn.XLOOKUP(E347,'Products Master'!A:A,'Products Master'!C:C)</f>
        <v>65000</v>
      </c>
      <c r="K347" t="str">
        <f>_xlfn.XLOOKUP(E347,'Products Master'!A:A,'Products Master'!D:D)</f>
        <v>Samsung</v>
      </c>
      <c r="L347">
        <f t="shared" si="20"/>
        <v>240000</v>
      </c>
      <c r="M347">
        <f t="shared" si="21"/>
        <v>195000</v>
      </c>
      <c r="N347">
        <f t="shared" si="22"/>
        <v>45000</v>
      </c>
      <c r="O347" s="2">
        <f t="shared" si="23"/>
        <v>0.1875</v>
      </c>
    </row>
    <row r="348" spans="1:15">
      <c r="A348" t="s">
        <v>709</v>
      </c>
      <c r="B348" t="s">
        <v>710</v>
      </c>
      <c r="C348" t="s">
        <v>454</v>
      </c>
      <c r="D348" t="s">
        <v>29</v>
      </c>
      <c r="E348" t="s">
        <v>12</v>
      </c>
      <c r="F348">
        <v>5</v>
      </c>
      <c r="G348">
        <v>150000</v>
      </c>
      <c r="H348" t="s">
        <v>66</v>
      </c>
      <c r="I348" t="str">
        <f>_xlfn.XLOOKUP(E348,'Products Master'!A:A,'Products Master'!B:B)</f>
        <v>Electronics</v>
      </c>
      <c r="J348">
        <f>_xlfn.XLOOKUP(E348,'Products Master'!A:A,'Products Master'!C:C)</f>
        <v>120000</v>
      </c>
      <c r="K348" t="str">
        <f>_xlfn.XLOOKUP(E348,'Products Master'!A:A,'Products Master'!D:D)</f>
        <v>Dell</v>
      </c>
      <c r="L348">
        <f t="shared" si="20"/>
        <v>750000</v>
      </c>
      <c r="M348">
        <f t="shared" si="21"/>
        <v>600000</v>
      </c>
      <c r="N348">
        <f t="shared" si="22"/>
        <v>150000</v>
      </c>
      <c r="O348" s="2">
        <f t="shared" si="23"/>
        <v>0.2</v>
      </c>
    </row>
    <row r="349" spans="1:15">
      <c r="A349" t="s">
        <v>711</v>
      </c>
      <c r="B349" t="s">
        <v>656</v>
      </c>
      <c r="C349" t="s">
        <v>226</v>
      </c>
      <c r="D349" t="s">
        <v>11</v>
      </c>
      <c r="E349" t="s">
        <v>99</v>
      </c>
      <c r="F349">
        <v>2</v>
      </c>
      <c r="G349">
        <v>5000</v>
      </c>
      <c r="H349" t="s">
        <v>50</v>
      </c>
      <c r="I349" t="str">
        <f>_xlfn.XLOOKUP(E349,'Products Master'!A:A,'Products Master'!B:B)</f>
        <v>Accessories</v>
      </c>
      <c r="J349">
        <f>_xlfn.XLOOKUP(E349,'Products Master'!A:A,'Products Master'!C:C)</f>
        <v>3500</v>
      </c>
      <c r="K349" t="str">
        <f>_xlfn.XLOOKUP(E349,'Products Master'!A:A,'Products Master'!D:D)</f>
        <v>Logitech</v>
      </c>
      <c r="L349">
        <f t="shared" si="20"/>
        <v>10000</v>
      </c>
      <c r="M349">
        <f t="shared" si="21"/>
        <v>7000</v>
      </c>
      <c r="N349">
        <f t="shared" si="22"/>
        <v>3000</v>
      </c>
      <c r="O349" s="2">
        <f t="shared" si="23"/>
        <v>0.3</v>
      </c>
    </row>
    <row r="350" spans="1:15">
      <c r="A350" t="s">
        <v>712</v>
      </c>
      <c r="B350" t="s">
        <v>643</v>
      </c>
      <c r="C350" t="s">
        <v>107</v>
      </c>
      <c r="D350" t="s">
        <v>23</v>
      </c>
      <c r="E350" t="s">
        <v>40</v>
      </c>
      <c r="F350">
        <v>1</v>
      </c>
      <c r="G350">
        <v>60000</v>
      </c>
      <c r="H350" t="s">
        <v>41</v>
      </c>
      <c r="I350" t="str">
        <f>_xlfn.XLOOKUP(E350,'Products Master'!A:A,'Products Master'!B:B)</f>
        <v>Electronics</v>
      </c>
      <c r="J350">
        <f>_xlfn.XLOOKUP(E350,'Products Master'!A:A,'Products Master'!C:C)</f>
        <v>50000</v>
      </c>
      <c r="K350" t="str">
        <f>_xlfn.XLOOKUP(E350,'Products Master'!A:A,'Products Master'!D:D)</f>
        <v>LG</v>
      </c>
      <c r="L350">
        <f t="shared" si="20"/>
        <v>60000</v>
      </c>
      <c r="M350">
        <f t="shared" si="21"/>
        <v>50000</v>
      </c>
      <c r="N350">
        <f t="shared" si="22"/>
        <v>10000</v>
      </c>
      <c r="O350" s="2">
        <f t="shared" si="23"/>
        <v>0.16666666666666666</v>
      </c>
    </row>
    <row r="351" spans="1:15">
      <c r="A351" t="s">
        <v>713</v>
      </c>
      <c r="B351" t="s">
        <v>714</v>
      </c>
      <c r="C351" t="s">
        <v>212</v>
      </c>
      <c r="D351" t="s">
        <v>23</v>
      </c>
      <c r="E351" t="s">
        <v>124</v>
      </c>
      <c r="F351">
        <v>4</v>
      </c>
      <c r="G351">
        <v>18000</v>
      </c>
      <c r="H351" t="s">
        <v>66</v>
      </c>
      <c r="I351" t="str">
        <f>_xlfn.XLOOKUP(E351,'Products Master'!A:A,'Products Master'!B:B)</f>
        <v>Storage</v>
      </c>
      <c r="J351">
        <f>_xlfn.XLOOKUP(E351,'Products Master'!A:A,'Products Master'!C:C)</f>
        <v>12000</v>
      </c>
      <c r="K351" t="str">
        <f>_xlfn.XLOOKUP(E351,'Products Master'!A:A,'Products Master'!D:D)</f>
        <v>Kingston</v>
      </c>
      <c r="L351">
        <f t="shared" si="20"/>
        <v>72000</v>
      </c>
      <c r="M351">
        <f t="shared" si="21"/>
        <v>48000</v>
      </c>
      <c r="N351">
        <f t="shared" si="22"/>
        <v>24000</v>
      </c>
      <c r="O351" s="2">
        <f t="shared" si="23"/>
        <v>0.33333333333333331</v>
      </c>
    </row>
    <row r="352" spans="1:15">
      <c r="A352" t="s">
        <v>715</v>
      </c>
      <c r="B352" t="s">
        <v>292</v>
      </c>
      <c r="C352" t="s">
        <v>209</v>
      </c>
      <c r="D352" t="s">
        <v>34</v>
      </c>
      <c r="E352" t="s">
        <v>18</v>
      </c>
      <c r="F352">
        <v>5</v>
      </c>
      <c r="G352">
        <v>45000</v>
      </c>
      <c r="H352" t="s">
        <v>95</v>
      </c>
      <c r="I352" t="str">
        <f>_xlfn.XLOOKUP(E352,'Products Master'!A:A,'Products Master'!B:B)</f>
        <v>Electronics</v>
      </c>
      <c r="J352">
        <f>_xlfn.XLOOKUP(E352,'Products Master'!A:A,'Products Master'!C:C)</f>
        <v>35000</v>
      </c>
      <c r="K352" t="str">
        <f>_xlfn.XLOOKUP(E352,'Products Master'!A:A,'Products Master'!D:D)</f>
        <v>HP</v>
      </c>
      <c r="L352">
        <f t="shared" si="20"/>
        <v>225000</v>
      </c>
      <c r="M352">
        <f t="shared" si="21"/>
        <v>175000</v>
      </c>
      <c r="N352">
        <f t="shared" si="22"/>
        <v>50000</v>
      </c>
      <c r="O352" s="2">
        <f t="shared" si="23"/>
        <v>0.22222222222222221</v>
      </c>
    </row>
    <row r="353" spans="1:15">
      <c r="A353" t="s">
        <v>716</v>
      </c>
      <c r="B353" t="s">
        <v>717</v>
      </c>
      <c r="C353" t="s">
        <v>454</v>
      </c>
      <c r="D353" t="s">
        <v>11</v>
      </c>
      <c r="E353" t="s">
        <v>124</v>
      </c>
      <c r="F353">
        <v>1</v>
      </c>
      <c r="G353">
        <v>18000</v>
      </c>
      <c r="H353" t="s">
        <v>116</v>
      </c>
      <c r="I353" t="str">
        <f>_xlfn.XLOOKUP(E353,'Products Master'!A:A,'Products Master'!B:B)</f>
        <v>Storage</v>
      </c>
      <c r="J353">
        <f>_xlfn.XLOOKUP(E353,'Products Master'!A:A,'Products Master'!C:C)</f>
        <v>12000</v>
      </c>
      <c r="K353" t="str">
        <f>_xlfn.XLOOKUP(E353,'Products Master'!A:A,'Products Master'!D:D)</f>
        <v>Kingston</v>
      </c>
      <c r="L353">
        <f t="shared" si="20"/>
        <v>18000</v>
      </c>
      <c r="M353">
        <f t="shared" si="21"/>
        <v>12000</v>
      </c>
      <c r="N353">
        <f t="shared" si="22"/>
        <v>6000</v>
      </c>
      <c r="O353" s="2">
        <f t="shared" si="23"/>
        <v>0.33333333333333331</v>
      </c>
    </row>
    <row r="354" spans="1:15">
      <c r="A354" t="s">
        <v>718</v>
      </c>
      <c r="B354" t="s">
        <v>336</v>
      </c>
      <c r="C354" t="s">
        <v>481</v>
      </c>
      <c r="D354" t="s">
        <v>34</v>
      </c>
      <c r="E354" t="s">
        <v>35</v>
      </c>
      <c r="F354">
        <v>3</v>
      </c>
      <c r="G354">
        <v>2000</v>
      </c>
      <c r="H354" t="s">
        <v>13</v>
      </c>
      <c r="I354" t="str">
        <f>_xlfn.XLOOKUP(E354,'Products Master'!A:A,'Products Master'!B:B)</f>
        <v>Storage</v>
      </c>
      <c r="J354">
        <f>_xlfn.XLOOKUP(E354,'Products Master'!A:A,'Products Master'!C:C)</f>
        <v>1200</v>
      </c>
      <c r="K354" t="str">
        <f>_xlfn.XLOOKUP(E354,'Products Master'!A:A,'Products Master'!D:D)</f>
        <v>SanDisk</v>
      </c>
      <c r="L354">
        <f t="shared" si="20"/>
        <v>6000</v>
      </c>
      <c r="M354">
        <f t="shared" si="21"/>
        <v>3600</v>
      </c>
      <c r="N354">
        <f t="shared" si="22"/>
        <v>2400</v>
      </c>
      <c r="O354" s="2">
        <f t="shared" si="23"/>
        <v>0.4</v>
      </c>
    </row>
    <row r="355" spans="1:15">
      <c r="A355" t="s">
        <v>719</v>
      </c>
      <c r="B355" t="s">
        <v>720</v>
      </c>
      <c r="C355" t="s">
        <v>77</v>
      </c>
      <c r="D355" t="s">
        <v>45</v>
      </c>
      <c r="E355" t="s">
        <v>179</v>
      </c>
      <c r="F355">
        <v>1</v>
      </c>
      <c r="G355">
        <v>80000</v>
      </c>
      <c r="H355" t="s">
        <v>25</v>
      </c>
      <c r="I355" t="str">
        <f>_xlfn.XLOOKUP(E355,'Products Master'!A:A,'Products Master'!B:B)</f>
        <v>Electronics</v>
      </c>
      <c r="J355">
        <f>_xlfn.XLOOKUP(E355,'Products Master'!A:A,'Products Master'!C:C)</f>
        <v>65000</v>
      </c>
      <c r="K355" t="str">
        <f>_xlfn.XLOOKUP(E355,'Products Master'!A:A,'Products Master'!D:D)</f>
        <v>Samsung</v>
      </c>
      <c r="L355">
        <f t="shared" si="20"/>
        <v>80000</v>
      </c>
      <c r="M355">
        <f t="shared" si="21"/>
        <v>65000</v>
      </c>
      <c r="N355">
        <f t="shared" si="22"/>
        <v>15000</v>
      </c>
      <c r="O355" s="2">
        <f t="shared" si="23"/>
        <v>0.1875</v>
      </c>
    </row>
    <row r="356" spans="1:15">
      <c r="A356" t="s">
        <v>721</v>
      </c>
      <c r="B356" t="s">
        <v>722</v>
      </c>
      <c r="C356" t="s">
        <v>403</v>
      </c>
      <c r="D356" t="s">
        <v>115</v>
      </c>
      <c r="E356" t="s">
        <v>124</v>
      </c>
      <c r="F356">
        <v>5</v>
      </c>
      <c r="G356">
        <v>18000</v>
      </c>
      <c r="H356" t="s">
        <v>30</v>
      </c>
      <c r="I356" t="str">
        <f>_xlfn.XLOOKUP(E356,'Products Master'!A:A,'Products Master'!B:B)</f>
        <v>Storage</v>
      </c>
      <c r="J356">
        <f>_xlfn.XLOOKUP(E356,'Products Master'!A:A,'Products Master'!C:C)</f>
        <v>12000</v>
      </c>
      <c r="K356" t="str">
        <f>_xlfn.XLOOKUP(E356,'Products Master'!A:A,'Products Master'!D:D)</f>
        <v>Kingston</v>
      </c>
      <c r="L356">
        <f t="shared" si="20"/>
        <v>90000</v>
      </c>
      <c r="M356">
        <f t="shared" si="21"/>
        <v>60000</v>
      </c>
      <c r="N356">
        <f t="shared" si="22"/>
        <v>30000</v>
      </c>
      <c r="O356" s="2">
        <f t="shared" si="23"/>
        <v>0.33333333333333331</v>
      </c>
    </row>
    <row r="357" spans="1:15">
      <c r="A357" t="s">
        <v>723</v>
      </c>
      <c r="B357" t="s">
        <v>724</v>
      </c>
      <c r="C357" t="s">
        <v>330</v>
      </c>
      <c r="D357" t="s">
        <v>17</v>
      </c>
      <c r="E357" t="s">
        <v>24</v>
      </c>
      <c r="F357">
        <v>5</v>
      </c>
      <c r="G357">
        <v>2500</v>
      </c>
      <c r="H357" t="s">
        <v>95</v>
      </c>
      <c r="I357" t="str">
        <f>_xlfn.XLOOKUP(E357,'Products Master'!A:A,'Products Master'!B:B)</f>
        <v>Accessories</v>
      </c>
      <c r="J357">
        <f>_xlfn.XLOOKUP(E357,'Products Master'!A:A,'Products Master'!C:C)</f>
        <v>1500</v>
      </c>
      <c r="K357" t="str">
        <f>_xlfn.XLOOKUP(E357,'Products Master'!A:A,'Products Master'!D:D)</f>
        <v>Logitech</v>
      </c>
      <c r="L357">
        <f t="shared" si="20"/>
        <v>12500</v>
      </c>
      <c r="M357">
        <f t="shared" si="21"/>
        <v>7500</v>
      </c>
      <c r="N357">
        <f t="shared" si="22"/>
        <v>5000</v>
      </c>
      <c r="O357" s="2">
        <f t="shared" si="23"/>
        <v>0.4</v>
      </c>
    </row>
    <row r="358" spans="1:15">
      <c r="A358" t="s">
        <v>725</v>
      </c>
      <c r="B358" t="s">
        <v>726</v>
      </c>
      <c r="C358" t="s">
        <v>94</v>
      </c>
      <c r="D358" t="s">
        <v>29</v>
      </c>
      <c r="E358" t="s">
        <v>24</v>
      </c>
      <c r="F358">
        <v>4</v>
      </c>
      <c r="G358">
        <v>2500</v>
      </c>
      <c r="H358" t="s">
        <v>66</v>
      </c>
      <c r="I358" t="str">
        <f>_xlfn.XLOOKUP(E358,'Products Master'!A:A,'Products Master'!B:B)</f>
        <v>Accessories</v>
      </c>
      <c r="J358">
        <f>_xlfn.XLOOKUP(E358,'Products Master'!A:A,'Products Master'!C:C)</f>
        <v>1500</v>
      </c>
      <c r="K358" t="str">
        <f>_xlfn.XLOOKUP(E358,'Products Master'!A:A,'Products Master'!D:D)</f>
        <v>Logitech</v>
      </c>
      <c r="L358">
        <f t="shared" si="20"/>
        <v>10000</v>
      </c>
      <c r="M358">
        <f t="shared" si="21"/>
        <v>6000</v>
      </c>
      <c r="N358">
        <f t="shared" si="22"/>
        <v>4000</v>
      </c>
      <c r="O358" s="2">
        <f t="shared" si="23"/>
        <v>0.4</v>
      </c>
    </row>
    <row r="359" spans="1:15">
      <c r="A359" t="s">
        <v>727</v>
      </c>
      <c r="B359" t="s">
        <v>728</v>
      </c>
      <c r="C359" t="s">
        <v>729</v>
      </c>
      <c r="D359" t="s">
        <v>23</v>
      </c>
      <c r="E359" t="s">
        <v>24</v>
      </c>
      <c r="F359">
        <v>4</v>
      </c>
      <c r="G359">
        <v>2500</v>
      </c>
      <c r="H359" t="s">
        <v>19</v>
      </c>
      <c r="I359" t="str">
        <f>_xlfn.XLOOKUP(E359,'Products Master'!A:A,'Products Master'!B:B)</f>
        <v>Accessories</v>
      </c>
      <c r="J359">
        <f>_xlfn.XLOOKUP(E359,'Products Master'!A:A,'Products Master'!C:C)</f>
        <v>1500</v>
      </c>
      <c r="K359" t="str">
        <f>_xlfn.XLOOKUP(E359,'Products Master'!A:A,'Products Master'!D:D)</f>
        <v>Logitech</v>
      </c>
      <c r="L359">
        <f t="shared" si="20"/>
        <v>10000</v>
      </c>
      <c r="M359">
        <f t="shared" si="21"/>
        <v>6000</v>
      </c>
      <c r="N359">
        <f t="shared" si="22"/>
        <v>4000</v>
      </c>
      <c r="O359" s="2">
        <f t="shared" si="23"/>
        <v>0.4</v>
      </c>
    </row>
    <row r="360" spans="1:15">
      <c r="A360" t="s">
        <v>730</v>
      </c>
      <c r="B360" t="s">
        <v>525</v>
      </c>
      <c r="C360" t="s">
        <v>731</v>
      </c>
      <c r="D360" t="s">
        <v>29</v>
      </c>
      <c r="E360" t="s">
        <v>40</v>
      </c>
      <c r="F360">
        <v>5</v>
      </c>
      <c r="G360">
        <v>60000</v>
      </c>
      <c r="H360" t="s">
        <v>50</v>
      </c>
      <c r="I360" t="str">
        <f>_xlfn.XLOOKUP(E360,'Products Master'!A:A,'Products Master'!B:B)</f>
        <v>Electronics</v>
      </c>
      <c r="J360">
        <f>_xlfn.XLOOKUP(E360,'Products Master'!A:A,'Products Master'!C:C)</f>
        <v>50000</v>
      </c>
      <c r="K360" t="str">
        <f>_xlfn.XLOOKUP(E360,'Products Master'!A:A,'Products Master'!D:D)</f>
        <v>LG</v>
      </c>
      <c r="L360">
        <f t="shared" si="20"/>
        <v>300000</v>
      </c>
      <c r="M360">
        <f t="shared" si="21"/>
        <v>250000</v>
      </c>
      <c r="N360">
        <f t="shared" si="22"/>
        <v>50000</v>
      </c>
      <c r="O360" s="2">
        <f t="shared" si="23"/>
        <v>0.16666666666666666</v>
      </c>
    </row>
    <row r="361" spans="1:15">
      <c r="A361" t="s">
        <v>732</v>
      </c>
      <c r="B361" t="s">
        <v>561</v>
      </c>
      <c r="C361" t="s">
        <v>114</v>
      </c>
      <c r="D361" t="s">
        <v>45</v>
      </c>
      <c r="E361" t="s">
        <v>18</v>
      </c>
      <c r="F361">
        <v>3</v>
      </c>
      <c r="G361">
        <v>45000</v>
      </c>
      <c r="H361" t="s">
        <v>30</v>
      </c>
      <c r="I361" t="str">
        <f>_xlfn.XLOOKUP(E361,'Products Master'!A:A,'Products Master'!B:B)</f>
        <v>Electronics</v>
      </c>
      <c r="J361">
        <f>_xlfn.XLOOKUP(E361,'Products Master'!A:A,'Products Master'!C:C)</f>
        <v>35000</v>
      </c>
      <c r="K361" t="str">
        <f>_xlfn.XLOOKUP(E361,'Products Master'!A:A,'Products Master'!D:D)</f>
        <v>HP</v>
      </c>
      <c r="L361">
        <f t="shared" si="20"/>
        <v>135000</v>
      </c>
      <c r="M361">
        <f t="shared" si="21"/>
        <v>105000</v>
      </c>
      <c r="N361">
        <f t="shared" si="22"/>
        <v>30000</v>
      </c>
      <c r="O361" s="2">
        <f t="shared" si="23"/>
        <v>0.22222222222222221</v>
      </c>
    </row>
    <row r="362" spans="1:15">
      <c r="A362" t="s">
        <v>733</v>
      </c>
      <c r="B362" t="s">
        <v>734</v>
      </c>
      <c r="C362" t="s">
        <v>162</v>
      </c>
      <c r="D362" t="s">
        <v>11</v>
      </c>
      <c r="E362" t="s">
        <v>49</v>
      </c>
      <c r="F362">
        <v>1</v>
      </c>
      <c r="G362">
        <v>9500</v>
      </c>
      <c r="H362" t="s">
        <v>36</v>
      </c>
      <c r="I362" t="str">
        <f>_xlfn.XLOOKUP(E362,'Products Master'!A:A,'Products Master'!B:B)</f>
        <v>Accessories</v>
      </c>
      <c r="J362">
        <f>_xlfn.XLOOKUP(E362,'Products Master'!A:A,'Products Master'!C:C)</f>
        <v>7000</v>
      </c>
      <c r="K362" t="str">
        <f>_xlfn.XLOOKUP(E362,'Products Master'!A:A,'Products Master'!D:D)</f>
        <v>Logitech</v>
      </c>
      <c r="L362">
        <f t="shared" si="20"/>
        <v>9500</v>
      </c>
      <c r="M362">
        <f t="shared" si="21"/>
        <v>7000</v>
      </c>
      <c r="N362">
        <f t="shared" si="22"/>
        <v>2500</v>
      </c>
      <c r="O362" s="2">
        <f t="shared" si="23"/>
        <v>0.26315789473684209</v>
      </c>
    </row>
    <row r="363" spans="1:15">
      <c r="A363" t="s">
        <v>735</v>
      </c>
      <c r="B363" t="s">
        <v>736</v>
      </c>
      <c r="C363" t="s">
        <v>22</v>
      </c>
      <c r="D363" t="s">
        <v>29</v>
      </c>
      <c r="E363" t="s">
        <v>179</v>
      </c>
      <c r="F363">
        <v>4</v>
      </c>
      <c r="G363">
        <v>80000</v>
      </c>
      <c r="H363" t="s">
        <v>36</v>
      </c>
      <c r="I363" t="str">
        <f>_xlfn.XLOOKUP(E363,'Products Master'!A:A,'Products Master'!B:B)</f>
        <v>Electronics</v>
      </c>
      <c r="J363">
        <f>_xlfn.XLOOKUP(E363,'Products Master'!A:A,'Products Master'!C:C)</f>
        <v>65000</v>
      </c>
      <c r="K363" t="str">
        <f>_xlfn.XLOOKUP(E363,'Products Master'!A:A,'Products Master'!D:D)</f>
        <v>Samsung</v>
      </c>
      <c r="L363">
        <f t="shared" si="20"/>
        <v>320000</v>
      </c>
      <c r="M363">
        <f t="shared" si="21"/>
        <v>260000</v>
      </c>
      <c r="N363">
        <f t="shared" si="22"/>
        <v>60000</v>
      </c>
      <c r="O363" s="2">
        <f t="shared" si="23"/>
        <v>0.1875</v>
      </c>
    </row>
    <row r="364" spans="1:15">
      <c r="A364" t="s">
        <v>737</v>
      </c>
      <c r="B364" t="s">
        <v>249</v>
      </c>
      <c r="C364" t="s">
        <v>63</v>
      </c>
      <c r="D364" t="s">
        <v>23</v>
      </c>
      <c r="E364" t="s">
        <v>49</v>
      </c>
      <c r="F364">
        <v>4</v>
      </c>
      <c r="G364">
        <v>9500</v>
      </c>
      <c r="H364" t="s">
        <v>19</v>
      </c>
      <c r="I364" t="str">
        <f>_xlfn.XLOOKUP(E364,'Products Master'!A:A,'Products Master'!B:B)</f>
        <v>Accessories</v>
      </c>
      <c r="J364">
        <f>_xlfn.XLOOKUP(E364,'Products Master'!A:A,'Products Master'!C:C)</f>
        <v>7000</v>
      </c>
      <c r="K364" t="str">
        <f>_xlfn.XLOOKUP(E364,'Products Master'!A:A,'Products Master'!D:D)</f>
        <v>Logitech</v>
      </c>
      <c r="L364">
        <f t="shared" si="20"/>
        <v>38000</v>
      </c>
      <c r="M364">
        <f t="shared" si="21"/>
        <v>28000</v>
      </c>
      <c r="N364">
        <f t="shared" si="22"/>
        <v>10000</v>
      </c>
      <c r="O364" s="2">
        <f t="shared" si="23"/>
        <v>0.26315789473684209</v>
      </c>
    </row>
    <row r="365" spans="1:15">
      <c r="A365" t="s">
        <v>738</v>
      </c>
      <c r="B365" t="s">
        <v>739</v>
      </c>
      <c r="C365" t="s">
        <v>303</v>
      </c>
      <c r="D365" t="s">
        <v>111</v>
      </c>
      <c r="E365" t="s">
        <v>54</v>
      </c>
      <c r="F365">
        <v>2</v>
      </c>
      <c r="G365">
        <v>7000</v>
      </c>
      <c r="H365" t="s">
        <v>95</v>
      </c>
      <c r="I365" t="str">
        <f>_xlfn.XLOOKUP(E365,'Products Master'!A:A,'Products Master'!B:B)</f>
        <v>Accessories</v>
      </c>
      <c r="J365">
        <f>_xlfn.XLOOKUP(E365,'Products Master'!A:A,'Products Master'!C:C)</f>
        <v>5000</v>
      </c>
      <c r="K365" t="str">
        <f>_xlfn.XLOOKUP(E365,'Products Master'!A:A,'Products Master'!D:D)</f>
        <v>Sony</v>
      </c>
      <c r="L365">
        <f t="shared" si="20"/>
        <v>14000</v>
      </c>
      <c r="M365">
        <f t="shared" si="21"/>
        <v>10000</v>
      </c>
      <c r="N365">
        <f t="shared" si="22"/>
        <v>4000</v>
      </c>
      <c r="O365" s="2">
        <f t="shared" si="23"/>
        <v>0.2857142857142857</v>
      </c>
    </row>
    <row r="366" spans="1:15">
      <c r="A366" t="s">
        <v>740</v>
      </c>
      <c r="B366" t="s">
        <v>528</v>
      </c>
      <c r="C366" t="s">
        <v>186</v>
      </c>
      <c r="D366" t="s">
        <v>115</v>
      </c>
      <c r="E366" t="s">
        <v>18</v>
      </c>
      <c r="F366">
        <v>3</v>
      </c>
      <c r="G366">
        <v>45000</v>
      </c>
      <c r="H366" t="s">
        <v>50</v>
      </c>
      <c r="I366" t="str">
        <f>_xlfn.XLOOKUP(E366,'Products Master'!A:A,'Products Master'!B:B)</f>
        <v>Electronics</v>
      </c>
      <c r="J366">
        <f>_xlfn.XLOOKUP(E366,'Products Master'!A:A,'Products Master'!C:C)</f>
        <v>35000</v>
      </c>
      <c r="K366" t="str">
        <f>_xlfn.XLOOKUP(E366,'Products Master'!A:A,'Products Master'!D:D)</f>
        <v>HP</v>
      </c>
      <c r="L366">
        <f t="shared" si="20"/>
        <v>135000</v>
      </c>
      <c r="M366">
        <f t="shared" si="21"/>
        <v>105000</v>
      </c>
      <c r="N366">
        <f t="shared" si="22"/>
        <v>30000</v>
      </c>
      <c r="O366" s="2">
        <f t="shared" si="23"/>
        <v>0.22222222222222221</v>
      </c>
    </row>
    <row r="367" spans="1:15">
      <c r="A367" t="s">
        <v>741</v>
      </c>
      <c r="B367" t="s">
        <v>123</v>
      </c>
      <c r="C367" t="s">
        <v>742</v>
      </c>
      <c r="D367" t="s">
        <v>17</v>
      </c>
      <c r="E367" t="s">
        <v>12</v>
      </c>
      <c r="F367">
        <v>2</v>
      </c>
      <c r="G367">
        <v>150000</v>
      </c>
      <c r="H367" t="s">
        <v>116</v>
      </c>
      <c r="I367" t="str">
        <f>_xlfn.XLOOKUP(E367,'Products Master'!A:A,'Products Master'!B:B)</f>
        <v>Electronics</v>
      </c>
      <c r="J367">
        <f>_xlfn.XLOOKUP(E367,'Products Master'!A:A,'Products Master'!C:C)</f>
        <v>120000</v>
      </c>
      <c r="K367" t="str">
        <f>_xlfn.XLOOKUP(E367,'Products Master'!A:A,'Products Master'!D:D)</f>
        <v>Dell</v>
      </c>
      <c r="L367">
        <f t="shared" si="20"/>
        <v>300000</v>
      </c>
      <c r="M367">
        <f t="shared" si="21"/>
        <v>240000</v>
      </c>
      <c r="N367">
        <f t="shared" si="22"/>
        <v>60000</v>
      </c>
      <c r="O367" s="2">
        <f t="shared" si="23"/>
        <v>0.2</v>
      </c>
    </row>
    <row r="368" spans="1:15">
      <c r="A368" t="s">
        <v>743</v>
      </c>
      <c r="B368" t="s">
        <v>118</v>
      </c>
      <c r="C368" t="s">
        <v>543</v>
      </c>
      <c r="D368" t="s">
        <v>115</v>
      </c>
      <c r="E368" t="s">
        <v>24</v>
      </c>
      <c r="F368">
        <v>4</v>
      </c>
      <c r="G368">
        <v>2500</v>
      </c>
      <c r="H368" t="s">
        <v>41</v>
      </c>
      <c r="I368" t="str">
        <f>_xlfn.XLOOKUP(E368,'Products Master'!A:A,'Products Master'!B:B)</f>
        <v>Accessories</v>
      </c>
      <c r="J368">
        <f>_xlfn.XLOOKUP(E368,'Products Master'!A:A,'Products Master'!C:C)</f>
        <v>1500</v>
      </c>
      <c r="K368" t="str">
        <f>_xlfn.XLOOKUP(E368,'Products Master'!A:A,'Products Master'!D:D)</f>
        <v>Logitech</v>
      </c>
      <c r="L368">
        <f t="shared" si="20"/>
        <v>10000</v>
      </c>
      <c r="M368">
        <f t="shared" si="21"/>
        <v>6000</v>
      </c>
      <c r="N368">
        <f t="shared" si="22"/>
        <v>4000</v>
      </c>
      <c r="O368" s="2">
        <f t="shared" si="23"/>
        <v>0.4</v>
      </c>
    </row>
    <row r="369" spans="1:15">
      <c r="A369" t="s">
        <v>744</v>
      </c>
      <c r="B369" t="s">
        <v>142</v>
      </c>
      <c r="C369" t="s">
        <v>230</v>
      </c>
      <c r="D369" t="s">
        <v>23</v>
      </c>
      <c r="E369" t="s">
        <v>124</v>
      </c>
      <c r="F369">
        <v>2</v>
      </c>
      <c r="G369">
        <v>18000</v>
      </c>
      <c r="H369" t="s">
        <v>116</v>
      </c>
      <c r="I369" t="str">
        <f>_xlfn.XLOOKUP(E369,'Products Master'!A:A,'Products Master'!B:B)</f>
        <v>Storage</v>
      </c>
      <c r="J369">
        <f>_xlfn.XLOOKUP(E369,'Products Master'!A:A,'Products Master'!C:C)</f>
        <v>12000</v>
      </c>
      <c r="K369" t="str">
        <f>_xlfn.XLOOKUP(E369,'Products Master'!A:A,'Products Master'!D:D)</f>
        <v>Kingston</v>
      </c>
      <c r="L369">
        <f t="shared" si="20"/>
        <v>36000</v>
      </c>
      <c r="M369">
        <f t="shared" si="21"/>
        <v>24000</v>
      </c>
      <c r="N369">
        <f t="shared" si="22"/>
        <v>12000</v>
      </c>
      <c r="O369" s="2">
        <f t="shared" si="23"/>
        <v>0.33333333333333331</v>
      </c>
    </row>
    <row r="370" spans="1:15">
      <c r="A370" t="s">
        <v>745</v>
      </c>
      <c r="B370" t="s">
        <v>486</v>
      </c>
      <c r="C370" t="s">
        <v>341</v>
      </c>
      <c r="D370" t="s">
        <v>45</v>
      </c>
      <c r="E370" t="s">
        <v>12</v>
      </c>
      <c r="F370">
        <v>4</v>
      </c>
      <c r="G370">
        <v>150000</v>
      </c>
      <c r="H370" t="s">
        <v>66</v>
      </c>
      <c r="I370" t="str">
        <f>_xlfn.XLOOKUP(E370,'Products Master'!A:A,'Products Master'!B:B)</f>
        <v>Electronics</v>
      </c>
      <c r="J370">
        <f>_xlfn.XLOOKUP(E370,'Products Master'!A:A,'Products Master'!C:C)</f>
        <v>120000</v>
      </c>
      <c r="K370" t="str">
        <f>_xlfn.XLOOKUP(E370,'Products Master'!A:A,'Products Master'!D:D)</f>
        <v>Dell</v>
      </c>
      <c r="L370">
        <f t="shared" si="20"/>
        <v>600000</v>
      </c>
      <c r="M370">
        <f t="shared" si="21"/>
        <v>480000</v>
      </c>
      <c r="N370">
        <f t="shared" si="22"/>
        <v>120000</v>
      </c>
      <c r="O370" s="2">
        <f t="shared" si="23"/>
        <v>0.2</v>
      </c>
    </row>
    <row r="371" spans="1:15">
      <c r="A371" t="s">
        <v>746</v>
      </c>
      <c r="B371" t="s">
        <v>747</v>
      </c>
      <c r="C371" t="s">
        <v>147</v>
      </c>
      <c r="D371" t="s">
        <v>115</v>
      </c>
      <c r="E371" t="s">
        <v>179</v>
      </c>
      <c r="F371">
        <v>4</v>
      </c>
      <c r="G371">
        <v>80000</v>
      </c>
      <c r="H371" t="s">
        <v>50</v>
      </c>
      <c r="I371" t="str">
        <f>_xlfn.XLOOKUP(E371,'Products Master'!A:A,'Products Master'!B:B)</f>
        <v>Electronics</v>
      </c>
      <c r="J371">
        <f>_xlfn.XLOOKUP(E371,'Products Master'!A:A,'Products Master'!C:C)</f>
        <v>65000</v>
      </c>
      <c r="K371" t="str">
        <f>_xlfn.XLOOKUP(E371,'Products Master'!A:A,'Products Master'!D:D)</f>
        <v>Samsung</v>
      </c>
      <c r="L371">
        <f t="shared" si="20"/>
        <v>320000</v>
      </c>
      <c r="M371">
        <f t="shared" si="21"/>
        <v>260000</v>
      </c>
      <c r="N371">
        <f t="shared" si="22"/>
        <v>60000</v>
      </c>
      <c r="O371" s="2">
        <f t="shared" si="23"/>
        <v>0.1875</v>
      </c>
    </row>
    <row r="372" spans="1:15">
      <c r="A372" t="s">
        <v>748</v>
      </c>
      <c r="B372" t="s">
        <v>204</v>
      </c>
      <c r="C372" t="s">
        <v>230</v>
      </c>
      <c r="D372" t="s">
        <v>29</v>
      </c>
      <c r="E372" t="s">
        <v>179</v>
      </c>
      <c r="F372">
        <v>4</v>
      </c>
      <c r="G372">
        <v>80000</v>
      </c>
      <c r="H372" t="s">
        <v>41</v>
      </c>
      <c r="I372" t="str">
        <f>_xlfn.XLOOKUP(E372,'Products Master'!A:A,'Products Master'!B:B)</f>
        <v>Electronics</v>
      </c>
      <c r="J372">
        <f>_xlfn.XLOOKUP(E372,'Products Master'!A:A,'Products Master'!C:C)</f>
        <v>65000</v>
      </c>
      <c r="K372" t="str">
        <f>_xlfn.XLOOKUP(E372,'Products Master'!A:A,'Products Master'!D:D)</f>
        <v>Samsung</v>
      </c>
      <c r="L372">
        <f t="shared" si="20"/>
        <v>320000</v>
      </c>
      <c r="M372">
        <f t="shared" si="21"/>
        <v>260000</v>
      </c>
      <c r="N372">
        <f t="shared" si="22"/>
        <v>60000</v>
      </c>
      <c r="O372" s="2">
        <f t="shared" si="23"/>
        <v>0.1875</v>
      </c>
    </row>
    <row r="373" spans="1:15">
      <c r="A373" t="s">
        <v>749</v>
      </c>
      <c r="B373" t="s">
        <v>87</v>
      </c>
      <c r="C373" t="s">
        <v>491</v>
      </c>
      <c r="D373" t="s">
        <v>29</v>
      </c>
      <c r="E373" t="s">
        <v>40</v>
      </c>
      <c r="F373">
        <v>5</v>
      </c>
      <c r="G373">
        <v>60000</v>
      </c>
      <c r="H373" t="s">
        <v>19</v>
      </c>
      <c r="I373" t="str">
        <f>_xlfn.XLOOKUP(E373,'Products Master'!A:A,'Products Master'!B:B)</f>
        <v>Electronics</v>
      </c>
      <c r="J373">
        <f>_xlfn.XLOOKUP(E373,'Products Master'!A:A,'Products Master'!C:C)</f>
        <v>50000</v>
      </c>
      <c r="K373" t="str">
        <f>_xlfn.XLOOKUP(E373,'Products Master'!A:A,'Products Master'!D:D)</f>
        <v>LG</v>
      </c>
      <c r="L373">
        <f t="shared" si="20"/>
        <v>300000</v>
      </c>
      <c r="M373">
        <f t="shared" si="21"/>
        <v>250000</v>
      </c>
      <c r="N373">
        <f t="shared" si="22"/>
        <v>50000</v>
      </c>
      <c r="O373" s="2">
        <f t="shared" si="23"/>
        <v>0.16666666666666666</v>
      </c>
    </row>
    <row r="374" spans="1:15">
      <c r="A374" t="s">
        <v>750</v>
      </c>
      <c r="B374" t="s">
        <v>751</v>
      </c>
      <c r="C374" t="s">
        <v>285</v>
      </c>
      <c r="D374" t="s">
        <v>111</v>
      </c>
      <c r="E374" t="s">
        <v>49</v>
      </c>
      <c r="F374">
        <v>2</v>
      </c>
      <c r="G374">
        <v>9500</v>
      </c>
      <c r="H374" t="s">
        <v>36</v>
      </c>
      <c r="I374" t="str">
        <f>_xlfn.XLOOKUP(E374,'Products Master'!A:A,'Products Master'!B:B)</f>
        <v>Accessories</v>
      </c>
      <c r="J374">
        <f>_xlfn.XLOOKUP(E374,'Products Master'!A:A,'Products Master'!C:C)</f>
        <v>7000</v>
      </c>
      <c r="K374" t="str">
        <f>_xlfn.XLOOKUP(E374,'Products Master'!A:A,'Products Master'!D:D)</f>
        <v>Logitech</v>
      </c>
      <c r="L374">
        <f t="shared" si="20"/>
        <v>19000</v>
      </c>
      <c r="M374">
        <f t="shared" si="21"/>
        <v>14000</v>
      </c>
      <c r="N374">
        <f t="shared" si="22"/>
        <v>5000</v>
      </c>
      <c r="O374" s="2">
        <f t="shared" si="23"/>
        <v>0.26315789473684209</v>
      </c>
    </row>
    <row r="375" spans="1:15">
      <c r="A375" t="s">
        <v>752</v>
      </c>
      <c r="B375" t="s">
        <v>282</v>
      </c>
      <c r="C375" t="s">
        <v>201</v>
      </c>
      <c r="D375" t="s">
        <v>11</v>
      </c>
      <c r="E375" t="s">
        <v>35</v>
      </c>
      <c r="F375">
        <v>4</v>
      </c>
      <c r="G375">
        <v>2000</v>
      </c>
      <c r="H375" t="s">
        <v>116</v>
      </c>
      <c r="I375" t="str">
        <f>_xlfn.XLOOKUP(E375,'Products Master'!A:A,'Products Master'!B:B)</f>
        <v>Storage</v>
      </c>
      <c r="J375">
        <f>_xlfn.XLOOKUP(E375,'Products Master'!A:A,'Products Master'!C:C)</f>
        <v>1200</v>
      </c>
      <c r="K375" t="str">
        <f>_xlfn.XLOOKUP(E375,'Products Master'!A:A,'Products Master'!D:D)</f>
        <v>SanDisk</v>
      </c>
      <c r="L375">
        <f t="shared" si="20"/>
        <v>8000</v>
      </c>
      <c r="M375">
        <f t="shared" si="21"/>
        <v>4800</v>
      </c>
      <c r="N375">
        <f t="shared" si="22"/>
        <v>3200</v>
      </c>
      <c r="O375" s="2">
        <f t="shared" si="23"/>
        <v>0.4</v>
      </c>
    </row>
    <row r="376" spans="1:15">
      <c r="A376" t="s">
        <v>753</v>
      </c>
      <c r="B376" t="s">
        <v>734</v>
      </c>
      <c r="C376" t="s">
        <v>230</v>
      </c>
      <c r="D376" t="s">
        <v>45</v>
      </c>
      <c r="E376" t="s">
        <v>24</v>
      </c>
      <c r="F376">
        <v>5</v>
      </c>
      <c r="G376">
        <v>2500</v>
      </c>
      <c r="H376" t="s">
        <v>25</v>
      </c>
      <c r="I376" t="str">
        <f>_xlfn.XLOOKUP(E376,'Products Master'!A:A,'Products Master'!B:B)</f>
        <v>Accessories</v>
      </c>
      <c r="J376">
        <f>_xlfn.XLOOKUP(E376,'Products Master'!A:A,'Products Master'!C:C)</f>
        <v>1500</v>
      </c>
      <c r="K376" t="str">
        <f>_xlfn.XLOOKUP(E376,'Products Master'!A:A,'Products Master'!D:D)</f>
        <v>Logitech</v>
      </c>
      <c r="L376">
        <f t="shared" si="20"/>
        <v>12500</v>
      </c>
      <c r="M376">
        <f t="shared" si="21"/>
        <v>7500</v>
      </c>
      <c r="N376">
        <f t="shared" si="22"/>
        <v>5000</v>
      </c>
      <c r="O376" s="2">
        <f t="shared" si="23"/>
        <v>0.4</v>
      </c>
    </row>
    <row r="377" spans="1:15">
      <c r="A377" t="s">
        <v>754</v>
      </c>
      <c r="B377" t="s">
        <v>188</v>
      </c>
      <c r="C377" t="s">
        <v>387</v>
      </c>
      <c r="D377" t="s">
        <v>17</v>
      </c>
      <c r="E377" t="s">
        <v>18</v>
      </c>
      <c r="F377">
        <v>2</v>
      </c>
      <c r="G377">
        <v>45000</v>
      </c>
      <c r="H377" t="s">
        <v>95</v>
      </c>
      <c r="I377" t="str">
        <f>_xlfn.XLOOKUP(E377,'Products Master'!A:A,'Products Master'!B:B)</f>
        <v>Electronics</v>
      </c>
      <c r="J377">
        <f>_xlfn.XLOOKUP(E377,'Products Master'!A:A,'Products Master'!C:C)</f>
        <v>35000</v>
      </c>
      <c r="K377" t="str">
        <f>_xlfn.XLOOKUP(E377,'Products Master'!A:A,'Products Master'!D:D)</f>
        <v>HP</v>
      </c>
      <c r="L377">
        <f t="shared" si="20"/>
        <v>90000</v>
      </c>
      <c r="M377">
        <f t="shared" si="21"/>
        <v>70000</v>
      </c>
      <c r="N377">
        <f t="shared" si="22"/>
        <v>20000</v>
      </c>
      <c r="O377" s="2">
        <f t="shared" si="23"/>
        <v>0.22222222222222221</v>
      </c>
    </row>
    <row r="378" spans="1:15">
      <c r="A378" t="s">
        <v>755</v>
      </c>
      <c r="B378" t="s">
        <v>211</v>
      </c>
      <c r="C378" t="s">
        <v>285</v>
      </c>
      <c r="D378" t="s">
        <v>17</v>
      </c>
      <c r="E378" t="s">
        <v>24</v>
      </c>
      <c r="F378">
        <v>3</v>
      </c>
      <c r="G378">
        <v>2500</v>
      </c>
      <c r="H378" t="s">
        <v>95</v>
      </c>
      <c r="I378" t="str">
        <f>_xlfn.XLOOKUP(E378,'Products Master'!A:A,'Products Master'!B:B)</f>
        <v>Accessories</v>
      </c>
      <c r="J378">
        <f>_xlfn.XLOOKUP(E378,'Products Master'!A:A,'Products Master'!C:C)</f>
        <v>1500</v>
      </c>
      <c r="K378" t="str">
        <f>_xlfn.XLOOKUP(E378,'Products Master'!A:A,'Products Master'!D:D)</f>
        <v>Logitech</v>
      </c>
      <c r="L378">
        <f t="shared" si="20"/>
        <v>7500</v>
      </c>
      <c r="M378">
        <f t="shared" si="21"/>
        <v>4500</v>
      </c>
      <c r="N378">
        <f t="shared" si="22"/>
        <v>3000</v>
      </c>
      <c r="O378" s="2">
        <f t="shared" si="23"/>
        <v>0.4</v>
      </c>
    </row>
    <row r="379" spans="1:15">
      <c r="A379" t="s">
        <v>756</v>
      </c>
      <c r="B379" t="s">
        <v>301</v>
      </c>
      <c r="C379" t="s">
        <v>140</v>
      </c>
      <c r="D379" t="s">
        <v>11</v>
      </c>
      <c r="E379" t="s">
        <v>49</v>
      </c>
      <c r="F379">
        <v>5</v>
      </c>
      <c r="G379">
        <v>9500</v>
      </c>
      <c r="H379" t="s">
        <v>95</v>
      </c>
      <c r="I379" t="str">
        <f>_xlfn.XLOOKUP(E379,'Products Master'!A:A,'Products Master'!B:B)</f>
        <v>Accessories</v>
      </c>
      <c r="J379">
        <f>_xlfn.XLOOKUP(E379,'Products Master'!A:A,'Products Master'!C:C)</f>
        <v>7000</v>
      </c>
      <c r="K379" t="str">
        <f>_xlfn.XLOOKUP(E379,'Products Master'!A:A,'Products Master'!D:D)</f>
        <v>Logitech</v>
      </c>
      <c r="L379">
        <f t="shared" si="20"/>
        <v>47500</v>
      </c>
      <c r="M379">
        <f t="shared" si="21"/>
        <v>35000</v>
      </c>
      <c r="N379">
        <f t="shared" si="22"/>
        <v>12500</v>
      </c>
      <c r="O379" s="2">
        <f t="shared" si="23"/>
        <v>0.26315789473684209</v>
      </c>
    </row>
    <row r="380" spans="1:15">
      <c r="A380" t="s">
        <v>757</v>
      </c>
      <c r="B380" t="s">
        <v>366</v>
      </c>
      <c r="C380" t="s">
        <v>543</v>
      </c>
      <c r="D380" t="s">
        <v>34</v>
      </c>
      <c r="E380" t="s">
        <v>54</v>
      </c>
      <c r="F380">
        <v>5</v>
      </c>
      <c r="G380">
        <v>7000</v>
      </c>
      <c r="H380" t="s">
        <v>41</v>
      </c>
      <c r="I380" t="str">
        <f>_xlfn.XLOOKUP(E380,'Products Master'!A:A,'Products Master'!B:B)</f>
        <v>Accessories</v>
      </c>
      <c r="J380">
        <f>_xlfn.XLOOKUP(E380,'Products Master'!A:A,'Products Master'!C:C)</f>
        <v>5000</v>
      </c>
      <c r="K380" t="str">
        <f>_xlfn.XLOOKUP(E380,'Products Master'!A:A,'Products Master'!D:D)</f>
        <v>Sony</v>
      </c>
      <c r="L380">
        <f t="shared" si="20"/>
        <v>35000</v>
      </c>
      <c r="M380">
        <f t="shared" si="21"/>
        <v>25000</v>
      </c>
      <c r="N380">
        <f t="shared" si="22"/>
        <v>10000</v>
      </c>
      <c r="O380" s="2">
        <f t="shared" si="23"/>
        <v>0.2857142857142857</v>
      </c>
    </row>
    <row r="381" spans="1:15">
      <c r="A381" t="s">
        <v>758</v>
      </c>
      <c r="B381" t="s">
        <v>419</v>
      </c>
      <c r="C381" t="s">
        <v>10</v>
      </c>
      <c r="D381" t="s">
        <v>17</v>
      </c>
      <c r="E381" t="s">
        <v>35</v>
      </c>
      <c r="F381">
        <v>5</v>
      </c>
      <c r="G381">
        <v>2000</v>
      </c>
      <c r="H381" t="s">
        <v>13</v>
      </c>
      <c r="I381" t="str">
        <f>_xlfn.XLOOKUP(E381,'Products Master'!A:A,'Products Master'!B:B)</f>
        <v>Storage</v>
      </c>
      <c r="J381">
        <f>_xlfn.XLOOKUP(E381,'Products Master'!A:A,'Products Master'!C:C)</f>
        <v>1200</v>
      </c>
      <c r="K381" t="str">
        <f>_xlfn.XLOOKUP(E381,'Products Master'!A:A,'Products Master'!D:D)</f>
        <v>SanDisk</v>
      </c>
      <c r="L381">
        <f t="shared" si="20"/>
        <v>10000</v>
      </c>
      <c r="M381">
        <f t="shared" si="21"/>
        <v>6000</v>
      </c>
      <c r="N381">
        <f t="shared" si="22"/>
        <v>4000</v>
      </c>
      <c r="O381" s="2">
        <f t="shared" si="23"/>
        <v>0.4</v>
      </c>
    </row>
    <row r="382" spans="1:15">
      <c r="A382" t="s">
        <v>759</v>
      </c>
      <c r="B382" t="s">
        <v>760</v>
      </c>
      <c r="C382" t="s">
        <v>288</v>
      </c>
      <c r="D382" t="s">
        <v>45</v>
      </c>
      <c r="E382" t="s">
        <v>24</v>
      </c>
      <c r="F382">
        <v>2</v>
      </c>
      <c r="G382">
        <v>2500</v>
      </c>
      <c r="H382" t="s">
        <v>116</v>
      </c>
      <c r="I382" t="str">
        <f>_xlfn.XLOOKUP(E382,'Products Master'!A:A,'Products Master'!B:B)</f>
        <v>Accessories</v>
      </c>
      <c r="J382">
        <f>_xlfn.XLOOKUP(E382,'Products Master'!A:A,'Products Master'!C:C)</f>
        <v>1500</v>
      </c>
      <c r="K382" t="str">
        <f>_xlfn.XLOOKUP(E382,'Products Master'!A:A,'Products Master'!D:D)</f>
        <v>Logitech</v>
      </c>
      <c r="L382">
        <f t="shared" si="20"/>
        <v>5000</v>
      </c>
      <c r="M382">
        <f t="shared" si="21"/>
        <v>3000</v>
      </c>
      <c r="N382">
        <f t="shared" si="22"/>
        <v>2000</v>
      </c>
      <c r="O382" s="2">
        <f t="shared" si="23"/>
        <v>0.4</v>
      </c>
    </row>
    <row r="383" spans="1:15">
      <c r="A383" t="s">
        <v>761</v>
      </c>
      <c r="B383" t="s">
        <v>762</v>
      </c>
      <c r="C383" t="s">
        <v>60</v>
      </c>
      <c r="D383" t="s">
        <v>29</v>
      </c>
      <c r="E383" t="s">
        <v>35</v>
      </c>
      <c r="F383">
        <v>2</v>
      </c>
      <c r="G383">
        <v>2000</v>
      </c>
      <c r="H383" t="s">
        <v>66</v>
      </c>
      <c r="I383" t="str">
        <f>_xlfn.XLOOKUP(E383,'Products Master'!A:A,'Products Master'!B:B)</f>
        <v>Storage</v>
      </c>
      <c r="J383">
        <f>_xlfn.XLOOKUP(E383,'Products Master'!A:A,'Products Master'!C:C)</f>
        <v>1200</v>
      </c>
      <c r="K383" t="str">
        <f>_xlfn.XLOOKUP(E383,'Products Master'!A:A,'Products Master'!D:D)</f>
        <v>SanDisk</v>
      </c>
      <c r="L383">
        <f t="shared" si="20"/>
        <v>4000</v>
      </c>
      <c r="M383">
        <f t="shared" si="21"/>
        <v>2400</v>
      </c>
      <c r="N383">
        <f t="shared" si="22"/>
        <v>1600</v>
      </c>
      <c r="O383" s="2">
        <f t="shared" si="23"/>
        <v>0.4</v>
      </c>
    </row>
    <row r="384" spans="1:15">
      <c r="A384" t="s">
        <v>763</v>
      </c>
      <c r="B384" t="s">
        <v>764</v>
      </c>
      <c r="C384" t="s">
        <v>341</v>
      </c>
      <c r="D384" t="s">
        <v>34</v>
      </c>
      <c r="E384" t="s">
        <v>40</v>
      </c>
      <c r="F384">
        <v>2</v>
      </c>
      <c r="G384">
        <v>60000</v>
      </c>
      <c r="H384" t="s">
        <v>19</v>
      </c>
      <c r="I384" t="str">
        <f>_xlfn.XLOOKUP(E384,'Products Master'!A:A,'Products Master'!B:B)</f>
        <v>Electronics</v>
      </c>
      <c r="J384">
        <f>_xlfn.XLOOKUP(E384,'Products Master'!A:A,'Products Master'!C:C)</f>
        <v>50000</v>
      </c>
      <c r="K384" t="str">
        <f>_xlfn.XLOOKUP(E384,'Products Master'!A:A,'Products Master'!D:D)</f>
        <v>LG</v>
      </c>
      <c r="L384">
        <f t="shared" si="20"/>
        <v>120000</v>
      </c>
      <c r="M384">
        <f t="shared" si="21"/>
        <v>100000</v>
      </c>
      <c r="N384">
        <f t="shared" si="22"/>
        <v>20000</v>
      </c>
      <c r="O384" s="2">
        <f t="shared" si="23"/>
        <v>0.16666666666666666</v>
      </c>
    </row>
    <row r="385" spans="1:15">
      <c r="A385" t="s">
        <v>765</v>
      </c>
      <c r="B385" t="s">
        <v>624</v>
      </c>
      <c r="C385" t="s">
        <v>74</v>
      </c>
      <c r="D385" t="s">
        <v>34</v>
      </c>
      <c r="E385" t="s">
        <v>24</v>
      </c>
      <c r="F385">
        <v>2</v>
      </c>
      <c r="G385">
        <v>2500</v>
      </c>
      <c r="H385" t="s">
        <v>25</v>
      </c>
      <c r="I385" t="str">
        <f>_xlfn.XLOOKUP(E385,'Products Master'!A:A,'Products Master'!B:B)</f>
        <v>Accessories</v>
      </c>
      <c r="J385">
        <f>_xlfn.XLOOKUP(E385,'Products Master'!A:A,'Products Master'!C:C)</f>
        <v>1500</v>
      </c>
      <c r="K385" t="str">
        <f>_xlfn.XLOOKUP(E385,'Products Master'!A:A,'Products Master'!D:D)</f>
        <v>Logitech</v>
      </c>
      <c r="L385">
        <f t="shared" si="20"/>
        <v>5000</v>
      </c>
      <c r="M385">
        <f t="shared" si="21"/>
        <v>3000</v>
      </c>
      <c r="N385">
        <f t="shared" si="22"/>
        <v>2000</v>
      </c>
      <c r="O385" s="2">
        <f t="shared" si="23"/>
        <v>0.4</v>
      </c>
    </row>
    <row r="386" spans="1:15">
      <c r="A386" t="s">
        <v>766</v>
      </c>
      <c r="B386" t="s">
        <v>184</v>
      </c>
      <c r="C386" t="s">
        <v>703</v>
      </c>
      <c r="D386" t="s">
        <v>111</v>
      </c>
      <c r="E386" t="s">
        <v>40</v>
      </c>
      <c r="F386">
        <v>3</v>
      </c>
      <c r="G386">
        <v>60000</v>
      </c>
      <c r="H386" t="s">
        <v>13</v>
      </c>
      <c r="I386" t="str">
        <f>_xlfn.XLOOKUP(E386,'Products Master'!A:A,'Products Master'!B:B)</f>
        <v>Electronics</v>
      </c>
      <c r="J386">
        <f>_xlfn.XLOOKUP(E386,'Products Master'!A:A,'Products Master'!C:C)</f>
        <v>50000</v>
      </c>
      <c r="K386" t="str">
        <f>_xlfn.XLOOKUP(E386,'Products Master'!A:A,'Products Master'!D:D)</f>
        <v>LG</v>
      </c>
      <c r="L386">
        <f t="shared" si="20"/>
        <v>180000</v>
      </c>
      <c r="M386">
        <f t="shared" si="21"/>
        <v>150000</v>
      </c>
      <c r="N386">
        <f t="shared" si="22"/>
        <v>30000</v>
      </c>
      <c r="O386" s="2">
        <f t="shared" si="23"/>
        <v>0.16666666666666666</v>
      </c>
    </row>
    <row r="387" spans="1:15">
      <c r="A387" t="s">
        <v>767</v>
      </c>
      <c r="B387" t="s">
        <v>768</v>
      </c>
      <c r="C387" t="s">
        <v>303</v>
      </c>
      <c r="D387" t="s">
        <v>115</v>
      </c>
      <c r="E387" t="s">
        <v>124</v>
      </c>
      <c r="F387">
        <v>1</v>
      </c>
      <c r="G387">
        <v>18000</v>
      </c>
      <c r="H387" t="s">
        <v>19</v>
      </c>
      <c r="I387" t="str">
        <f>_xlfn.XLOOKUP(E387,'Products Master'!A:A,'Products Master'!B:B)</f>
        <v>Storage</v>
      </c>
      <c r="J387">
        <f>_xlfn.XLOOKUP(E387,'Products Master'!A:A,'Products Master'!C:C)</f>
        <v>12000</v>
      </c>
      <c r="K387" t="str">
        <f>_xlfn.XLOOKUP(E387,'Products Master'!A:A,'Products Master'!D:D)</f>
        <v>Kingston</v>
      </c>
      <c r="L387">
        <f t="shared" ref="L387:L450" si="24">F387*G387</f>
        <v>18000</v>
      </c>
      <c r="M387">
        <f t="shared" ref="M387:M450" si="25">F387*J387</f>
        <v>12000</v>
      </c>
      <c r="N387">
        <f t="shared" ref="N387:N450" si="26">L387-M387</f>
        <v>6000</v>
      </c>
      <c r="O387" s="2">
        <f t="shared" ref="O387:O450" si="27">N387/L387</f>
        <v>0.33333333333333331</v>
      </c>
    </row>
    <row r="388" spans="1:15">
      <c r="A388" t="s">
        <v>769</v>
      </c>
      <c r="B388" t="s">
        <v>480</v>
      </c>
      <c r="C388" t="s">
        <v>83</v>
      </c>
      <c r="D388" t="s">
        <v>11</v>
      </c>
      <c r="E388" t="s">
        <v>40</v>
      </c>
      <c r="F388">
        <v>3</v>
      </c>
      <c r="G388">
        <v>60000</v>
      </c>
      <c r="H388" t="s">
        <v>95</v>
      </c>
      <c r="I388" t="str">
        <f>_xlfn.XLOOKUP(E388,'Products Master'!A:A,'Products Master'!B:B)</f>
        <v>Electronics</v>
      </c>
      <c r="J388">
        <f>_xlfn.XLOOKUP(E388,'Products Master'!A:A,'Products Master'!C:C)</f>
        <v>50000</v>
      </c>
      <c r="K388" t="str">
        <f>_xlfn.XLOOKUP(E388,'Products Master'!A:A,'Products Master'!D:D)</f>
        <v>LG</v>
      </c>
      <c r="L388">
        <f t="shared" si="24"/>
        <v>180000</v>
      </c>
      <c r="M388">
        <f t="shared" si="25"/>
        <v>150000</v>
      </c>
      <c r="N388">
        <f t="shared" si="26"/>
        <v>30000</v>
      </c>
      <c r="O388" s="2">
        <f t="shared" si="27"/>
        <v>0.16666666666666666</v>
      </c>
    </row>
    <row r="389" spans="1:15">
      <c r="A389" t="s">
        <v>770</v>
      </c>
      <c r="B389" t="s">
        <v>32</v>
      </c>
      <c r="C389" t="s">
        <v>466</v>
      </c>
      <c r="D389" t="s">
        <v>11</v>
      </c>
      <c r="E389" t="s">
        <v>40</v>
      </c>
      <c r="F389">
        <v>5</v>
      </c>
      <c r="G389">
        <v>60000</v>
      </c>
      <c r="H389" t="s">
        <v>50</v>
      </c>
      <c r="I389" t="str">
        <f>_xlfn.XLOOKUP(E389,'Products Master'!A:A,'Products Master'!B:B)</f>
        <v>Electronics</v>
      </c>
      <c r="J389">
        <f>_xlfn.XLOOKUP(E389,'Products Master'!A:A,'Products Master'!C:C)</f>
        <v>50000</v>
      </c>
      <c r="K389" t="str">
        <f>_xlfn.XLOOKUP(E389,'Products Master'!A:A,'Products Master'!D:D)</f>
        <v>LG</v>
      </c>
      <c r="L389">
        <f t="shared" si="24"/>
        <v>300000</v>
      </c>
      <c r="M389">
        <f t="shared" si="25"/>
        <v>250000</v>
      </c>
      <c r="N389">
        <f t="shared" si="26"/>
        <v>50000</v>
      </c>
      <c r="O389" s="2">
        <f t="shared" si="27"/>
        <v>0.16666666666666666</v>
      </c>
    </row>
    <row r="390" spans="1:15">
      <c r="A390" t="s">
        <v>771</v>
      </c>
      <c r="B390" t="s">
        <v>218</v>
      </c>
      <c r="C390" t="s">
        <v>731</v>
      </c>
      <c r="D390" t="s">
        <v>23</v>
      </c>
      <c r="E390" t="s">
        <v>54</v>
      </c>
      <c r="F390">
        <v>1</v>
      </c>
      <c r="G390">
        <v>7000</v>
      </c>
      <c r="H390" t="s">
        <v>36</v>
      </c>
      <c r="I390" t="str">
        <f>_xlfn.XLOOKUP(E390,'Products Master'!A:A,'Products Master'!B:B)</f>
        <v>Accessories</v>
      </c>
      <c r="J390">
        <f>_xlfn.XLOOKUP(E390,'Products Master'!A:A,'Products Master'!C:C)</f>
        <v>5000</v>
      </c>
      <c r="K390" t="str">
        <f>_xlfn.XLOOKUP(E390,'Products Master'!A:A,'Products Master'!D:D)</f>
        <v>Sony</v>
      </c>
      <c r="L390">
        <f t="shared" si="24"/>
        <v>7000</v>
      </c>
      <c r="M390">
        <f t="shared" si="25"/>
        <v>5000</v>
      </c>
      <c r="N390">
        <f t="shared" si="26"/>
        <v>2000</v>
      </c>
      <c r="O390" s="2">
        <f t="shared" si="27"/>
        <v>0.2857142857142857</v>
      </c>
    </row>
    <row r="391" spans="1:15">
      <c r="A391" t="s">
        <v>772</v>
      </c>
      <c r="B391" t="s">
        <v>155</v>
      </c>
      <c r="C391" t="s">
        <v>94</v>
      </c>
      <c r="D391" t="s">
        <v>45</v>
      </c>
      <c r="E391" t="s">
        <v>12</v>
      </c>
      <c r="F391">
        <v>5</v>
      </c>
      <c r="G391">
        <v>150000</v>
      </c>
      <c r="H391" t="s">
        <v>95</v>
      </c>
      <c r="I391" t="str">
        <f>_xlfn.XLOOKUP(E391,'Products Master'!A:A,'Products Master'!B:B)</f>
        <v>Electronics</v>
      </c>
      <c r="J391">
        <f>_xlfn.XLOOKUP(E391,'Products Master'!A:A,'Products Master'!C:C)</f>
        <v>120000</v>
      </c>
      <c r="K391" t="str">
        <f>_xlfn.XLOOKUP(E391,'Products Master'!A:A,'Products Master'!D:D)</f>
        <v>Dell</v>
      </c>
      <c r="L391">
        <f t="shared" si="24"/>
        <v>750000</v>
      </c>
      <c r="M391">
        <f t="shared" si="25"/>
        <v>600000</v>
      </c>
      <c r="N391">
        <f t="shared" si="26"/>
        <v>150000</v>
      </c>
      <c r="O391" s="2">
        <f t="shared" si="27"/>
        <v>0.2</v>
      </c>
    </row>
    <row r="392" spans="1:15">
      <c r="A392" t="s">
        <v>773</v>
      </c>
      <c r="B392" t="s">
        <v>65</v>
      </c>
      <c r="C392" t="s">
        <v>254</v>
      </c>
      <c r="D392" t="s">
        <v>111</v>
      </c>
      <c r="E392" t="s">
        <v>49</v>
      </c>
      <c r="F392">
        <v>2</v>
      </c>
      <c r="G392">
        <v>9500</v>
      </c>
      <c r="H392" t="s">
        <v>36</v>
      </c>
      <c r="I392" t="str">
        <f>_xlfn.XLOOKUP(E392,'Products Master'!A:A,'Products Master'!B:B)</f>
        <v>Accessories</v>
      </c>
      <c r="J392">
        <f>_xlfn.XLOOKUP(E392,'Products Master'!A:A,'Products Master'!C:C)</f>
        <v>7000</v>
      </c>
      <c r="K392" t="str">
        <f>_xlfn.XLOOKUP(E392,'Products Master'!A:A,'Products Master'!D:D)</f>
        <v>Logitech</v>
      </c>
      <c r="L392">
        <f t="shared" si="24"/>
        <v>19000</v>
      </c>
      <c r="M392">
        <f t="shared" si="25"/>
        <v>14000</v>
      </c>
      <c r="N392">
        <f t="shared" si="26"/>
        <v>5000</v>
      </c>
      <c r="O392" s="2">
        <f t="shared" si="27"/>
        <v>0.26315789473684209</v>
      </c>
    </row>
    <row r="393" spans="1:15">
      <c r="A393" t="s">
        <v>774</v>
      </c>
      <c r="B393" t="s">
        <v>590</v>
      </c>
      <c r="C393" t="s">
        <v>454</v>
      </c>
      <c r="D393" t="s">
        <v>111</v>
      </c>
      <c r="E393" t="s">
        <v>49</v>
      </c>
      <c r="F393">
        <v>5</v>
      </c>
      <c r="G393">
        <v>9500</v>
      </c>
      <c r="H393" t="s">
        <v>25</v>
      </c>
      <c r="I393" t="str">
        <f>_xlfn.XLOOKUP(E393,'Products Master'!A:A,'Products Master'!B:B)</f>
        <v>Accessories</v>
      </c>
      <c r="J393">
        <f>_xlfn.XLOOKUP(E393,'Products Master'!A:A,'Products Master'!C:C)</f>
        <v>7000</v>
      </c>
      <c r="K393" t="str">
        <f>_xlfn.XLOOKUP(E393,'Products Master'!A:A,'Products Master'!D:D)</f>
        <v>Logitech</v>
      </c>
      <c r="L393">
        <f t="shared" si="24"/>
        <v>47500</v>
      </c>
      <c r="M393">
        <f t="shared" si="25"/>
        <v>35000</v>
      </c>
      <c r="N393">
        <f t="shared" si="26"/>
        <v>12500</v>
      </c>
      <c r="O393" s="2">
        <f t="shared" si="27"/>
        <v>0.26315789473684209</v>
      </c>
    </row>
    <row r="394" spans="1:15">
      <c r="A394" t="s">
        <v>775</v>
      </c>
      <c r="B394" t="s">
        <v>776</v>
      </c>
      <c r="C394" t="s">
        <v>543</v>
      </c>
      <c r="D394" t="s">
        <v>29</v>
      </c>
      <c r="E394" t="s">
        <v>18</v>
      </c>
      <c r="F394">
        <v>4</v>
      </c>
      <c r="G394">
        <v>45000</v>
      </c>
      <c r="H394" t="s">
        <v>66</v>
      </c>
      <c r="I394" t="str">
        <f>_xlfn.XLOOKUP(E394,'Products Master'!A:A,'Products Master'!B:B)</f>
        <v>Electronics</v>
      </c>
      <c r="J394">
        <f>_xlfn.XLOOKUP(E394,'Products Master'!A:A,'Products Master'!C:C)</f>
        <v>35000</v>
      </c>
      <c r="K394" t="str">
        <f>_xlfn.XLOOKUP(E394,'Products Master'!A:A,'Products Master'!D:D)</f>
        <v>HP</v>
      </c>
      <c r="L394">
        <f t="shared" si="24"/>
        <v>180000</v>
      </c>
      <c r="M394">
        <f t="shared" si="25"/>
        <v>140000</v>
      </c>
      <c r="N394">
        <f t="shared" si="26"/>
        <v>40000</v>
      </c>
      <c r="O394" s="2">
        <f t="shared" si="27"/>
        <v>0.22222222222222221</v>
      </c>
    </row>
    <row r="395" spans="1:15">
      <c r="A395" t="s">
        <v>777</v>
      </c>
      <c r="B395" t="s">
        <v>778</v>
      </c>
      <c r="C395" t="s">
        <v>170</v>
      </c>
      <c r="D395" t="s">
        <v>29</v>
      </c>
      <c r="E395" t="s">
        <v>12</v>
      </c>
      <c r="F395">
        <v>5</v>
      </c>
      <c r="G395">
        <v>150000</v>
      </c>
      <c r="H395" t="s">
        <v>36</v>
      </c>
      <c r="I395" t="str">
        <f>_xlfn.XLOOKUP(E395,'Products Master'!A:A,'Products Master'!B:B)</f>
        <v>Electronics</v>
      </c>
      <c r="J395">
        <f>_xlfn.XLOOKUP(E395,'Products Master'!A:A,'Products Master'!C:C)</f>
        <v>120000</v>
      </c>
      <c r="K395" t="str">
        <f>_xlfn.XLOOKUP(E395,'Products Master'!A:A,'Products Master'!D:D)</f>
        <v>Dell</v>
      </c>
      <c r="L395">
        <f t="shared" si="24"/>
        <v>750000</v>
      </c>
      <c r="M395">
        <f t="shared" si="25"/>
        <v>600000</v>
      </c>
      <c r="N395">
        <f t="shared" si="26"/>
        <v>150000</v>
      </c>
      <c r="O395" s="2">
        <f t="shared" si="27"/>
        <v>0.2</v>
      </c>
    </row>
    <row r="396" spans="1:15">
      <c r="A396" t="s">
        <v>779</v>
      </c>
      <c r="B396" t="s">
        <v>668</v>
      </c>
      <c r="C396" t="s">
        <v>318</v>
      </c>
      <c r="D396" t="s">
        <v>115</v>
      </c>
      <c r="E396" t="s">
        <v>24</v>
      </c>
      <c r="F396">
        <v>1</v>
      </c>
      <c r="G396">
        <v>2500</v>
      </c>
      <c r="H396" t="s">
        <v>19</v>
      </c>
      <c r="I396" t="str">
        <f>_xlfn.XLOOKUP(E396,'Products Master'!A:A,'Products Master'!B:B)</f>
        <v>Accessories</v>
      </c>
      <c r="J396">
        <f>_xlfn.XLOOKUP(E396,'Products Master'!A:A,'Products Master'!C:C)</f>
        <v>1500</v>
      </c>
      <c r="K396" t="str">
        <f>_xlfn.XLOOKUP(E396,'Products Master'!A:A,'Products Master'!D:D)</f>
        <v>Logitech</v>
      </c>
      <c r="L396">
        <f t="shared" si="24"/>
        <v>2500</v>
      </c>
      <c r="M396">
        <f t="shared" si="25"/>
        <v>1500</v>
      </c>
      <c r="N396">
        <f t="shared" si="26"/>
        <v>1000</v>
      </c>
      <c r="O396" s="2">
        <f t="shared" si="27"/>
        <v>0.4</v>
      </c>
    </row>
    <row r="397" spans="1:15">
      <c r="A397" t="s">
        <v>780</v>
      </c>
      <c r="B397" t="s">
        <v>257</v>
      </c>
      <c r="C397" t="s">
        <v>167</v>
      </c>
      <c r="D397" t="s">
        <v>23</v>
      </c>
      <c r="E397" t="s">
        <v>12</v>
      </c>
      <c r="F397">
        <v>5</v>
      </c>
      <c r="G397">
        <v>150000</v>
      </c>
      <c r="H397" t="s">
        <v>50</v>
      </c>
      <c r="I397" t="str">
        <f>_xlfn.XLOOKUP(E397,'Products Master'!A:A,'Products Master'!B:B)</f>
        <v>Electronics</v>
      </c>
      <c r="J397">
        <f>_xlfn.XLOOKUP(E397,'Products Master'!A:A,'Products Master'!C:C)</f>
        <v>120000</v>
      </c>
      <c r="K397" t="str">
        <f>_xlfn.XLOOKUP(E397,'Products Master'!A:A,'Products Master'!D:D)</f>
        <v>Dell</v>
      </c>
      <c r="L397">
        <f t="shared" si="24"/>
        <v>750000</v>
      </c>
      <c r="M397">
        <f t="shared" si="25"/>
        <v>600000</v>
      </c>
      <c r="N397">
        <f t="shared" si="26"/>
        <v>150000</v>
      </c>
      <c r="O397" s="2">
        <f t="shared" si="27"/>
        <v>0.2</v>
      </c>
    </row>
    <row r="398" spans="1:15">
      <c r="A398" t="s">
        <v>781</v>
      </c>
      <c r="B398" t="s">
        <v>472</v>
      </c>
      <c r="C398" t="s">
        <v>91</v>
      </c>
      <c r="D398" t="s">
        <v>11</v>
      </c>
      <c r="E398" t="s">
        <v>35</v>
      </c>
      <c r="F398">
        <v>4</v>
      </c>
      <c r="G398">
        <v>2000</v>
      </c>
      <c r="H398" t="s">
        <v>13</v>
      </c>
      <c r="I398" t="str">
        <f>_xlfn.XLOOKUP(E398,'Products Master'!A:A,'Products Master'!B:B)</f>
        <v>Storage</v>
      </c>
      <c r="J398">
        <f>_xlfn.XLOOKUP(E398,'Products Master'!A:A,'Products Master'!C:C)</f>
        <v>1200</v>
      </c>
      <c r="K398" t="str">
        <f>_xlfn.XLOOKUP(E398,'Products Master'!A:A,'Products Master'!D:D)</f>
        <v>SanDisk</v>
      </c>
      <c r="L398">
        <f t="shared" si="24"/>
        <v>8000</v>
      </c>
      <c r="M398">
        <f t="shared" si="25"/>
        <v>4800</v>
      </c>
      <c r="N398">
        <f t="shared" si="26"/>
        <v>3200</v>
      </c>
      <c r="O398" s="2">
        <f t="shared" si="27"/>
        <v>0.4</v>
      </c>
    </row>
    <row r="399" spans="1:15">
      <c r="A399" t="s">
        <v>782</v>
      </c>
      <c r="B399" t="s">
        <v>783</v>
      </c>
      <c r="C399" t="s">
        <v>167</v>
      </c>
      <c r="D399" t="s">
        <v>23</v>
      </c>
      <c r="E399" t="s">
        <v>24</v>
      </c>
      <c r="F399">
        <v>3</v>
      </c>
      <c r="G399">
        <v>2500</v>
      </c>
      <c r="H399" t="s">
        <v>30</v>
      </c>
      <c r="I399" t="str">
        <f>_xlfn.XLOOKUP(E399,'Products Master'!A:A,'Products Master'!B:B)</f>
        <v>Accessories</v>
      </c>
      <c r="J399">
        <f>_xlfn.XLOOKUP(E399,'Products Master'!A:A,'Products Master'!C:C)</f>
        <v>1500</v>
      </c>
      <c r="K399" t="str">
        <f>_xlfn.XLOOKUP(E399,'Products Master'!A:A,'Products Master'!D:D)</f>
        <v>Logitech</v>
      </c>
      <c r="L399">
        <f t="shared" si="24"/>
        <v>7500</v>
      </c>
      <c r="M399">
        <f t="shared" si="25"/>
        <v>4500</v>
      </c>
      <c r="N399">
        <f t="shared" si="26"/>
        <v>3000</v>
      </c>
      <c r="O399" s="2">
        <f t="shared" si="27"/>
        <v>0.4</v>
      </c>
    </row>
    <row r="400" spans="1:15">
      <c r="A400" t="s">
        <v>784</v>
      </c>
      <c r="B400" t="s">
        <v>257</v>
      </c>
      <c r="C400" t="s">
        <v>346</v>
      </c>
      <c r="D400" t="s">
        <v>11</v>
      </c>
      <c r="E400" t="s">
        <v>49</v>
      </c>
      <c r="F400">
        <v>4</v>
      </c>
      <c r="G400">
        <v>9500</v>
      </c>
      <c r="H400" t="s">
        <v>36</v>
      </c>
      <c r="I400" t="str">
        <f>_xlfn.XLOOKUP(E400,'Products Master'!A:A,'Products Master'!B:B)</f>
        <v>Accessories</v>
      </c>
      <c r="J400">
        <f>_xlfn.XLOOKUP(E400,'Products Master'!A:A,'Products Master'!C:C)</f>
        <v>7000</v>
      </c>
      <c r="K400" t="str">
        <f>_xlfn.XLOOKUP(E400,'Products Master'!A:A,'Products Master'!D:D)</f>
        <v>Logitech</v>
      </c>
      <c r="L400">
        <f t="shared" si="24"/>
        <v>38000</v>
      </c>
      <c r="M400">
        <f t="shared" si="25"/>
        <v>28000</v>
      </c>
      <c r="N400">
        <f t="shared" si="26"/>
        <v>10000</v>
      </c>
      <c r="O400" s="2">
        <f t="shared" si="27"/>
        <v>0.26315789473684209</v>
      </c>
    </row>
    <row r="401" spans="1:15">
      <c r="A401" t="s">
        <v>785</v>
      </c>
      <c r="B401" t="s">
        <v>131</v>
      </c>
      <c r="C401" t="s">
        <v>39</v>
      </c>
      <c r="D401" t="s">
        <v>29</v>
      </c>
      <c r="E401" t="s">
        <v>12</v>
      </c>
      <c r="F401">
        <v>1</v>
      </c>
      <c r="G401">
        <v>150000</v>
      </c>
      <c r="H401" t="s">
        <v>36</v>
      </c>
      <c r="I401" t="str">
        <f>_xlfn.XLOOKUP(E401,'Products Master'!A:A,'Products Master'!B:B)</f>
        <v>Electronics</v>
      </c>
      <c r="J401">
        <f>_xlfn.XLOOKUP(E401,'Products Master'!A:A,'Products Master'!C:C)</f>
        <v>120000</v>
      </c>
      <c r="K401" t="str">
        <f>_xlfn.XLOOKUP(E401,'Products Master'!A:A,'Products Master'!D:D)</f>
        <v>Dell</v>
      </c>
      <c r="L401">
        <f t="shared" si="24"/>
        <v>150000</v>
      </c>
      <c r="M401">
        <f t="shared" si="25"/>
        <v>120000</v>
      </c>
      <c r="N401">
        <f t="shared" si="26"/>
        <v>30000</v>
      </c>
      <c r="O401" s="2">
        <f t="shared" si="27"/>
        <v>0.2</v>
      </c>
    </row>
    <row r="402" spans="1:15">
      <c r="A402" t="s">
        <v>786</v>
      </c>
      <c r="B402" t="s">
        <v>787</v>
      </c>
      <c r="C402" t="s">
        <v>226</v>
      </c>
      <c r="D402" t="s">
        <v>34</v>
      </c>
      <c r="E402" t="s">
        <v>124</v>
      </c>
      <c r="F402">
        <v>4</v>
      </c>
      <c r="G402">
        <v>18000</v>
      </c>
      <c r="H402" t="s">
        <v>13</v>
      </c>
      <c r="I402" t="str">
        <f>_xlfn.XLOOKUP(E402,'Products Master'!A:A,'Products Master'!B:B)</f>
        <v>Storage</v>
      </c>
      <c r="J402">
        <f>_xlfn.XLOOKUP(E402,'Products Master'!A:A,'Products Master'!C:C)</f>
        <v>12000</v>
      </c>
      <c r="K402" t="str">
        <f>_xlfn.XLOOKUP(E402,'Products Master'!A:A,'Products Master'!D:D)</f>
        <v>Kingston</v>
      </c>
      <c r="L402">
        <f t="shared" si="24"/>
        <v>72000</v>
      </c>
      <c r="M402">
        <f t="shared" si="25"/>
        <v>48000</v>
      </c>
      <c r="N402">
        <f t="shared" si="26"/>
        <v>24000</v>
      </c>
      <c r="O402" s="2">
        <f t="shared" si="27"/>
        <v>0.33333333333333331</v>
      </c>
    </row>
    <row r="403" spans="1:15">
      <c r="A403" t="s">
        <v>788</v>
      </c>
      <c r="B403" t="s">
        <v>419</v>
      </c>
      <c r="C403" t="s">
        <v>140</v>
      </c>
      <c r="D403" t="s">
        <v>17</v>
      </c>
      <c r="E403" t="s">
        <v>179</v>
      </c>
      <c r="F403">
        <v>5</v>
      </c>
      <c r="G403">
        <v>80000</v>
      </c>
      <c r="H403" t="s">
        <v>66</v>
      </c>
      <c r="I403" t="str">
        <f>_xlfn.XLOOKUP(E403,'Products Master'!A:A,'Products Master'!B:B)</f>
        <v>Electronics</v>
      </c>
      <c r="J403">
        <f>_xlfn.XLOOKUP(E403,'Products Master'!A:A,'Products Master'!C:C)</f>
        <v>65000</v>
      </c>
      <c r="K403" t="str">
        <f>_xlfn.XLOOKUP(E403,'Products Master'!A:A,'Products Master'!D:D)</f>
        <v>Samsung</v>
      </c>
      <c r="L403">
        <f t="shared" si="24"/>
        <v>400000</v>
      </c>
      <c r="M403">
        <f t="shared" si="25"/>
        <v>325000</v>
      </c>
      <c r="N403">
        <f t="shared" si="26"/>
        <v>75000</v>
      </c>
      <c r="O403" s="2">
        <f t="shared" si="27"/>
        <v>0.1875</v>
      </c>
    </row>
    <row r="404" spans="1:15">
      <c r="A404" t="s">
        <v>789</v>
      </c>
      <c r="B404" t="s">
        <v>654</v>
      </c>
      <c r="C404" t="s">
        <v>382</v>
      </c>
      <c r="D404" t="s">
        <v>17</v>
      </c>
      <c r="E404" t="s">
        <v>49</v>
      </c>
      <c r="F404">
        <v>3</v>
      </c>
      <c r="G404">
        <v>9500</v>
      </c>
      <c r="H404" t="s">
        <v>66</v>
      </c>
      <c r="I404" t="str">
        <f>_xlfn.XLOOKUP(E404,'Products Master'!A:A,'Products Master'!B:B)</f>
        <v>Accessories</v>
      </c>
      <c r="J404">
        <f>_xlfn.XLOOKUP(E404,'Products Master'!A:A,'Products Master'!C:C)</f>
        <v>7000</v>
      </c>
      <c r="K404" t="str">
        <f>_xlfn.XLOOKUP(E404,'Products Master'!A:A,'Products Master'!D:D)</f>
        <v>Logitech</v>
      </c>
      <c r="L404">
        <f t="shared" si="24"/>
        <v>28500</v>
      </c>
      <c r="M404">
        <f t="shared" si="25"/>
        <v>21000</v>
      </c>
      <c r="N404">
        <f t="shared" si="26"/>
        <v>7500</v>
      </c>
      <c r="O404" s="2">
        <f t="shared" si="27"/>
        <v>0.26315789473684209</v>
      </c>
    </row>
    <row r="405" spans="1:15">
      <c r="A405" t="s">
        <v>790</v>
      </c>
      <c r="B405" t="s">
        <v>643</v>
      </c>
      <c r="C405" t="s">
        <v>382</v>
      </c>
      <c r="D405" t="s">
        <v>34</v>
      </c>
      <c r="E405" t="s">
        <v>35</v>
      </c>
      <c r="F405">
        <v>2</v>
      </c>
      <c r="G405">
        <v>2000</v>
      </c>
      <c r="H405" t="s">
        <v>25</v>
      </c>
      <c r="I405" t="str">
        <f>_xlfn.XLOOKUP(E405,'Products Master'!A:A,'Products Master'!B:B)</f>
        <v>Storage</v>
      </c>
      <c r="J405">
        <f>_xlfn.XLOOKUP(E405,'Products Master'!A:A,'Products Master'!C:C)</f>
        <v>1200</v>
      </c>
      <c r="K405" t="str">
        <f>_xlfn.XLOOKUP(E405,'Products Master'!A:A,'Products Master'!D:D)</f>
        <v>SanDisk</v>
      </c>
      <c r="L405">
        <f t="shared" si="24"/>
        <v>4000</v>
      </c>
      <c r="M405">
        <f t="shared" si="25"/>
        <v>2400</v>
      </c>
      <c r="N405">
        <f t="shared" si="26"/>
        <v>1600</v>
      </c>
      <c r="O405" s="2">
        <f t="shared" si="27"/>
        <v>0.4</v>
      </c>
    </row>
    <row r="406" spans="1:15">
      <c r="A406" t="s">
        <v>791</v>
      </c>
      <c r="B406" t="s">
        <v>305</v>
      </c>
      <c r="C406" t="s">
        <v>470</v>
      </c>
      <c r="D406" t="s">
        <v>17</v>
      </c>
      <c r="E406" t="s">
        <v>99</v>
      </c>
      <c r="F406">
        <v>1</v>
      </c>
      <c r="G406">
        <v>5000</v>
      </c>
      <c r="H406" t="s">
        <v>30</v>
      </c>
      <c r="I406" t="str">
        <f>_xlfn.XLOOKUP(E406,'Products Master'!A:A,'Products Master'!B:B)</f>
        <v>Accessories</v>
      </c>
      <c r="J406">
        <f>_xlfn.XLOOKUP(E406,'Products Master'!A:A,'Products Master'!C:C)</f>
        <v>3500</v>
      </c>
      <c r="K406" t="str">
        <f>_xlfn.XLOOKUP(E406,'Products Master'!A:A,'Products Master'!D:D)</f>
        <v>Logitech</v>
      </c>
      <c r="L406">
        <f t="shared" si="24"/>
        <v>5000</v>
      </c>
      <c r="M406">
        <f t="shared" si="25"/>
        <v>3500</v>
      </c>
      <c r="N406">
        <f t="shared" si="26"/>
        <v>1500</v>
      </c>
      <c r="O406" s="2">
        <f t="shared" si="27"/>
        <v>0.3</v>
      </c>
    </row>
    <row r="407" spans="1:15">
      <c r="A407" t="s">
        <v>792</v>
      </c>
      <c r="B407" t="s">
        <v>253</v>
      </c>
      <c r="C407" t="s">
        <v>201</v>
      </c>
      <c r="D407" t="s">
        <v>23</v>
      </c>
      <c r="E407" t="s">
        <v>12</v>
      </c>
      <c r="F407">
        <v>4</v>
      </c>
      <c r="G407">
        <v>150000</v>
      </c>
      <c r="H407" t="s">
        <v>25</v>
      </c>
      <c r="I407" t="str">
        <f>_xlfn.XLOOKUP(E407,'Products Master'!A:A,'Products Master'!B:B)</f>
        <v>Electronics</v>
      </c>
      <c r="J407">
        <f>_xlfn.XLOOKUP(E407,'Products Master'!A:A,'Products Master'!C:C)</f>
        <v>120000</v>
      </c>
      <c r="K407" t="str">
        <f>_xlfn.XLOOKUP(E407,'Products Master'!A:A,'Products Master'!D:D)</f>
        <v>Dell</v>
      </c>
      <c r="L407">
        <f t="shared" si="24"/>
        <v>600000</v>
      </c>
      <c r="M407">
        <f t="shared" si="25"/>
        <v>480000</v>
      </c>
      <c r="N407">
        <f t="shared" si="26"/>
        <v>120000</v>
      </c>
      <c r="O407" s="2">
        <f t="shared" si="27"/>
        <v>0.2</v>
      </c>
    </row>
    <row r="408" spans="1:15">
      <c r="A408" t="s">
        <v>793</v>
      </c>
      <c r="B408" t="s">
        <v>590</v>
      </c>
      <c r="C408" t="s">
        <v>53</v>
      </c>
      <c r="D408" t="s">
        <v>17</v>
      </c>
      <c r="E408" t="s">
        <v>40</v>
      </c>
      <c r="F408">
        <v>2</v>
      </c>
      <c r="G408">
        <v>60000</v>
      </c>
      <c r="H408" t="s">
        <v>36</v>
      </c>
      <c r="I408" t="str">
        <f>_xlfn.XLOOKUP(E408,'Products Master'!A:A,'Products Master'!B:B)</f>
        <v>Electronics</v>
      </c>
      <c r="J408">
        <f>_xlfn.XLOOKUP(E408,'Products Master'!A:A,'Products Master'!C:C)</f>
        <v>50000</v>
      </c>
      <c r="K408" t="str">
        <f>_xlfn.XLOOKUP(E408,'Products Master'!A:A,'Products Master'!D:D)</f>
        <v>LG</v>
      </c>
      <c r="L408">
        <f t="shared" si="24"/>
        <v>120000</v>
      </c>
      <c r="M408">
        <f t="shared" si="25"/>
        <v>100000</v>
      </c>
      <c r="N408">
        <f t="shared" si="26"/>
        <v>20000</v>
      </c>
      <c r="O408" s="2">
        <f t="shared" si="27"/>
        <v>0.16666666666666666</v>
      </c>
    </row>
    <row r="409" spans="1:15">
      <c r="A409" t="s">
        <v>794</v>
      </c>
      <c r="B409" t="s">
        <v>795</v>
      </c>
      <c r="C409" t="s">
        <v>194</v>
      </c>
      <c r="D409" t="s">
        <v>115</v>
      </c>
      <c r="E409" t="s">
        <v>49</v>
      </c>
      <c r="F409">
        <v>3</v>
      </c>
      <c r="G409">
        <v>9500</v>
      </c>
      <c r="H409" t="s">
        <v>41</v>
      </c>
      <c r="I409" t="str">
        <f>_xlfn.XLOOKUP(E409,'Products Master'!A:A,'Products Master'!B:B)</f>
        <v>Accessories</v>
      </c>
      <c r="J409">
        <f>_xlfn.XLOOKUP(E409,'Products Master'!A:A,'Products Master'!C:C)</f>
        <v>7000</v>
      </c>
      <c r="K409" t="str">
        <f>_xlfn.XLOOKUP(E409,'Products Master'!A:A,'Products Master'!D:D)</f>
        <v>Logitech</v>
      </c>
      <c r="L409">
        <f t="shared" si="24"/>
        <v>28500</v>
      </c>
      <c r="M409">
        <f t="shared" si="25"/>
        <v>21000</v>
      </c>
      <c r="N409">
        <f t="shared" si="26"/>
        <v>7500</v>
      </c>
      <c r="O409" s="2">
        <f t="shared" si="27"/>
        <v>0.26315789473684209</v>
      </c>
    </row>
    <row r="410" spans="1:15">
      <c r="A410" t="s">
        <v>796</v>
      </c>
      <c r="B410" t="s">
        <v>797</v>
      </c>
      <c r="C410" t="s">
        <v>39</v>
      </c>
      <c r="D410" t="s">
        <v>115</v>
      </c>
      <c r="E410" t="s">
        <v>54</v>
      </c>
      <c r="F410">
        <v>3</v>
      </c>
      <c r="G410">
        <v>7000</v>
      </c>
      <c r="H410" t="s">
        <v>41</v>
      </c>
      <c r="I410" t="str">
        <f>_xlfn.XLOOKUP(E410,'Products Master'!A:A,'Products Master'!B:B)</f>
        <v>Accessories</v>
      </c>
      <c r="J410">
        <f>_xlfn.XLOOKUP(E410,'Products Master'!A:A,'Products Master'!C:C)</f>
        <v>5000</v>
      </c>
      <c r="K410" t="str">
        <f>_xlfn.XLOOKUP(E410,'Products Master'!A:A,'Products Master'!D:D)</f>
        <v>Sony</v>
      </c>
      <c r="L410">
        <f t="shared" si="24"/>
        <v>21000</v>
      </c>
      <c r="M410">
        <f t="shared" si="25"/>
        <v>15000</v>
      </c>
      <c r="N410">
        <f t="shared" si="26"/>
        <v>6000</v>
      </c>
      <c r="O410" s="2">
        <f t="shared" si="27"/>
        <v>0.2857142857142857</v>
      </c>
    </row>
    <row r="411" spans="1:15">
      <c r="A411" t="s">
        <v>798</v>
      </c>
      <c r="B411" t="s">
        <v>161</v>
      </c>
      <c r="C411" t="s">
        <v>330</v>
      </c>
      <c r="D411" t="s">
        <v>23</v>
      </c>
      <c r="E411" t="s">
        <v>12</v>
      </c>
      <c r="F411">
        <v>5</v>
      </c>
      <c r="G411">
        <v>150000</v>
      </c>
      <c r="H411" t="s">
        <v>25</v>
      </c>
      <c r="I411" t="str">
        <f>_xlfn.XLOOKUP(E411,'Products Master'!A:A,'Products Master'!B:B)</f>
        <v>Electronics</v>
      </c>
      <c r="J411">
        <f>_xlfn.XLOOKUP(E411,'Products Master'!A:A,'Products Master'!C:C)</f>
        <v>120000</v>
      </c>
      <c r="K411" t="str">
        <f>_xlfn.XLOOKUP(E411,'Products Master'!A:A,'Products Master'!D:D)</f>
        <v>Dell</v>
      </c>
      <c r="L411">
        <f t="shared" si="24"/>
        <v>750000</v>
      </c>
      <c r="M411">
        <f t="shared" si="25"/>
        <v>600000</v>
      </c>
      <c r="N411">
        <f t="shared" si="26"/>
        <v>150000</v>
      </c>
      <c r="O411" s="2">
        <f t="shared" si="27"/>
        <v>0.2</v>
      </c>
    </row>
    <row r="412" spans="1:15">
      <c r="A412" t="s">
        <v>799</v>
      </c>
      <c r="B412" t="s">
        <v>372</v>
      </c>
      <c r="C412" t="s">
        <v>742</v>
      </c>
      <c r="D412" t="s">
        <v>34</v>
      </c>
      <c r="E412" t="s">
        <v>35</v>
      </c>
      <c r="F412">
        <v>3</v>
      </c>
      <c r="G412">
        <v>2000</v>
      </c>
      <c r="H412" t="s">
        <v>95</v>
      </c>
      <c r="I412" t="str">
        <f>_xlfn.XLOOKUP(E412,'Products Master'!A:A,'Products Master'!B:B)</f>
        <v>Storage</v>
      </c>
      <c r="J412">
        <f>_xlfn.XLOOKUP(E412,'Products Master'!A:A,'Products Master'!C:C)</f>
        <v>1200</v>
      </c>
      <c r="K412" t="str">
        <f>_xlfn.XLOOKUP(E412,'Products Master'!A:A,'Products Master'!D:D)</f>
        <v>SanDisk</v>
      </c>
      <c r="L412">
        <f t="shared" si="24"/>
        <v>6000</v>
      </c>
      <c r="M412">
        <f t="shared" si="25"/>
        <v>3600</v>
      </c>
      <c r="N412">
        <f t="shared" si="26"/>
        <v>2400</v>
      </c>
      <c r="O412" s="2">
        <f t="shared" si="27"/>
        <v>0.4</v>
      </c>
    </row>
    <row r="413" spans="1:15">
      <c r="A413" t="s">
        <v>800</v>
      </c>
      <c r="B413" t="s">
        <v>417</v>
      </c>
      <c r="C413" t="s">
        <v>162</v>
      </c>
      <c r="D413" t="s">
        <v>115</v>
      </c>
      <c r="E413" t="s">
        <v>18</v>
      </c>
      <c r="F413">
        <v>1</v>
      </c>
      <c r="G413">
        <v>45000</v>
      </c>
      <c r="H413" t="s">
        <v>41</v>
      </c>
      <c r="I413" t="str">
        <f>_xlfn.XLOOKUP(E413,'Products Master'!A:A,'Products Master'!B:B)</f>
        <v>Electronics</v>
      </c>
      <c r="J413">
        <f>_xlfn.XLOOKUP(E413,'Products Master'!A:A,'Products Master'!C:C)</f>
        <v>35000</v>
      </c>
      <c r="K413" t="str">
        <f>_xlfn.XLOOKUP(E413,'Products Master'!A:A,'Products Master'!D:D)</f>
        <v>HP</v>
      </c>
      <c r="L413">
        <f t="shared" si="24"/>
        <v>45000</v>
      </c>
      <c r="M413">
        <f t="shared" si="25"/>
        <v>35000</v>
      </c>
      <c r="N413">
        <f t="shared" si="26"/>
        <v>10000</v>
      </c>
      <c r="O413" s="2">
        <f t="shared" si="27"/>
        <v>0.22222222222222221</v>
      </c>
    </row>
    <row r="414" spans="1:15">
      <c r="A414" t="s">
        <v>801</v>
      </c>
      <c r="B414" t="s">
        <v>802</v>
      </c>
      <c r="C414" t="s">
        <v>314</v>
      </c>
      <c r="D414" t="s">
        <v>115</v>
      </c>
      <c r="E414" t="s">
        <v>179</v>
      </c>
      <c r="F414">
        <v>5</v>
      </c>
      <c r="G414">
        <v>80000</v>
      </c>
      <c r="H414" t="s">
        <v>50</v>
      </c>
      <c r="I414" t="str">
        <f>_xlfn.XLOOKUP(E414,'Products Master'!A:A,'Products Master'!B:B)</f>
        <v>Electronics</v>
      </c>
      <c r="J414">
        <f>_xlfn.XLOOKUP(E414,'Products Master'!A:A,'Products Master'!C:C)</f>
        <v>65000</v>
      </c>
      <c r="K414" t="str">
        <f>_xlfn.XLOOKUP(E414,'Products Master'!A:A,'Products Master'!D:D)</f>
        <v>Samsung</v>
      </c>
      <c r="L414">
        <f t="shared" si="24"/>
        <v>400000</v>
      </c>
      <c r="M414">
        <f t="shared" si="25"/>
        <v>325000</v>
      </c>
      <c r="N414">
        <f t="shared" si="26"/>
        <v>75000</v>
      </c>
      <c r="O414" s="2">
        <f t="shared" si="27"/>
        <v>0.1875</v>
      </c>
    </row>
    <row r="415" spans="1:15">
      <c r="A415" t="s">
        <v>803</v>
      </c>
      <c r="B415" t="s">
        <v>622</v>
      </c>
      <c r="C415" t="s">
        <v>33</v>
      </c>
      <c r="D415" t="s">
        <v>17</v>
      </c>
      <c r="E415" t="s">
        <v>12</v>
      </c>
      <c r="F415">
        <v>3</v>
      </c>
      <c r="G415">
        <v>150000</v>
      </c>
      <c r="H415" t="s">
        <v>13</v>
      </c>
      <c r="I415" t="str">
        <f>_xlfn.XLOOKUP(E415,'Products Master'!A:A,'Products Master'!B:B)</f>
        <v>Electronics</v>
      </c>
      <c r="J415">
        <f>_xlfn.XLOOKUP(E415,'Products Master'!A:A,'Products Master'!C:C)</f>
        <v>120000</v>
      </c>
      <c r="K415" t="str">
        <f>_xlfn.XLOOKUP(E415,'Products Master'!A:A,'Products Master'!D:D)</f>
        <v>Dell</v>
      </c>
      <c r="L415">
        <f t="shared" si="24"/>
        <v>450000</v>
      </c>
      <c r="M415">
        <f t="shared" si="25"/>
        <v>360000</v>
      </c>
      <c r="N415">
        <f t="shared" si="26"/>
        <v>90000</v>
      </c>
      <c r="O415" s="2">
        <f t="shared" si="27"/>
        <v>0.2</v>
      </c>
    </row>
    <row r="416" spans="1:15">
      <c r="A416" t="s">
        <v>804</v>
      </c>
      <c r="B416" t="s">
        <v>805</v>
      </c>
      <c r="C416" t="s">
        <v>101</v>
      </c>
      <c r="D416" t="s">
        <v>115</v>
      </c>
      <c r="E416" t="s">
        <v>179</v>
      </c>
      <c r="F416">
        <v>3</v>
      </c>
      <c r="G416">
        <v>80000</v>
      </c>
      <c r="H416" t="s">
        <v>25</v>
      </c>
      <c r="I416" t="str">
        <f>_xlfn.XLOOKUP(E416,'Products Master'!A:A,'Products Master'!B:B)</f>
        <v>Electronics</v>
      </c>
      <c r="J416">
        <f>_xlfn.XLOOKUP(E416,'Products Master'!A:A,'Products Master'!C:C)</f>
        <v>65000</v>
      </c>
      <c r="K416" t="str">
        <f>_xlfn.XLOOKUP(E416,'Products Master'!A:A,'Products Master'!D:D)</f>
        <v>Samsung</v>
      </c>
      <c r="L416">
        <f t="shared" si="24"/>
        <v>240000</v>
      </c>
      <c r="M416">
        <f t="shared" si="25"/>
        <v>195000</v>
      </c>
      <c r="N416">
        <f t="shared" si="26"/>
        <v>45000</v>
      </c>
      <c r="O416" s="2">
        <f t="shared" si="27"/>
        <v>0.1875</v>
      </c>
    </row>
    <row r="417" spans="1:15">
      <c r="A417" t="s">
        <v>806</v>
      </c>
      <c r="B417" t="s">
        <v>326</v>
      </c>
      <c r="C417" t="s">
        <v>212</v>
      </c>
      <c r="D417" t="s">
        <v>115</v>
      </c>
      <c r="E417" t="s">
        <v>24</v>
      </c>
      <c r="F417">
        <v>5</v>
      </c>
      <c r="G417">
        <v>2500</v>
      </c>
      <c r="H417" t="s">
        <v>36</v>
      </c>
      <c r="I417" t="str">
        <f>_xlfn.XLOOKUP(E417,'Products Master'!A:A,'Products Master'!B:B)</f>
        <v>Accessories</v>
      </c>
      <c r="J417">
        <f>_xlfn.XLOOKUP(E417,'Products Master'!A:A,'Products Master'!C:C)</f>
        <v>1500</v>
      </c>
      <c r="K417" t="str">
        <f>_xlfn.XLOOKUP(E417,'Products Master'!A:A,'Products Master'!D:D)</f>
        <v>Logitech</v>
      </c>
      <c r="L417">
        <f t="shared" si="24"/>
        <v>12500</v>
      </c>
      <c r="M417">
        <f t="shared" si="25"/>
        <v>7500</v>
      </c>
      <c r="N417">
        <f t="shared" si="26"/>
        <v>5000</v>
      </c>
      <c r="O417" s="2">
        <f t="shared" si="27"/>
        <v>0.4</v>
      </c>
    </row>
    <row r="418" spans="1:15">
      <c r="A418" t="s">
        <v>807</v>
      </c>
      <c r="B418" t="s">
        <v>398</v>
      </c>
      <c r="C418" t="s">
        <v>201</v>
      </c>
      <c r="D418" t="s">
        <v>17</v>
      </c>
      <c r="E418" t="s">
        <v>12</v>
      </c>
      <c r="F418">
        <v>4</v>
      </c>
      <c r="G418">
        <v>150000</v>
      </c>
      <c r="H418" t="s">
        <v>13</v>
      </c>
      <c r="I418" t="str">
        <f>_xlfn.XLOOKUP(E418,'Products Master'!A:A,'Products Master'!B:B)</f>
        <v>Electronics</v>
      </c>
      <c r="J418">
        <f>_xlfn.XLOOKUP(E418,'Products Master'!A:A,'Products Master'!C:C)</f>
        <v>120000</v>
      </c>
      <c r="K418" t="str">
        <f>_xlfn.XLOOKUP(E418,'Products Master'!A:A,'Products Master'!D:D)</f>
        <v>Dell</v>
      </c>
      <c r="L418">
        <f t="shared" si="24"/>
        <v>600000</v>
      </c>
      <c r="M418">
        <f t="shared" si="25"/>
        <v>480000</v>
      </c>
      <c r="N418">
        <f t="shared" si="26"/>
        <v>120000</v>
      </c>
      <c r="O418" s="2">
        <f t="shared" si="27"/>
        <v>0.2</v>
      </c>
    </row>
    <row r="419" spans="1:15">
      <c r="A419" t="s">
        <v>808</v>
      </c>
      <c r="B419" t="s">
        <v>809</v>
      </c>
      <c r="C419" t="s">
        <v>400</v>
      </c>
      <c r="D419" t="s">
        <v>111</v>
      </c>
      <c r="E419" t="s">
        <v>49</v>
      </c>
      <c r="F419">
        <v>5</v>
      </c>
      <c r="G419">
        <v>9500</v>
      </c>
      <c r="H419" t="s">
        <v>25</v>
      </c>
      <c r="I419" t="str">
        <f>_xlfn.XLOOKUP(E419,'Products Master'!A:A,'Products Master'!B:B)</f>
        <v>Accessories</v>
      </c>
      <c r="J419">
        <f>_xlfn.XLOOKUP(E419,'Products Master'!A:A,'Products Master'!C:C)</f>
        <v>7000</v>
      </c>
      <c r="K419" t="str">
        <f>_xlfn.XLOOKUP(E419,'Products Master'!A:A,'Products Master'!D:D)</f>
        <v>Logitech</v>
      </c>
      <c r="L419">
        <f t="shared" si="24"/>
        <v>47500</v>
      </c>
      <c r="M419">
        <f t="shared" si="25"/>
        <v>35000</v>
      </c>
      <c r="N419">
        <f t="shared" si="26"/>
        <v>12500</v>
      </c>
      <c r="O419" s="2">
        <f t="shared" si="27"/>
        <v>0.26315789473684209</v>
      </c>
    </row>
    <row r="420" spans="1:15">
      <c r="A420" t="s">
        <v>810</v>
      </c>
      <c r="B420" t="s">
        <v>555</v>
      </c>
      <c r="C420" t="s">
        <v>77</v>
      </c>
      <c r="D420" t="s">
        <v>111</v>
      </c>
      <c r="E420" t="s">
        <v>40</v>
      </c>
      <c r="F420">
        <v>1</v>
      </c>
      <c r="G420">
        <v>60000</v>
      </c>
      <c r="H420" t="s">
        <v>19</v>
      </c>
      <c r="I420" t="str">
        <f>_xlfn.XLOOKUP(E420,'Products Master'!A:A,'Products Master'!B:B)</f>
        <v>Electronics</v>
      </c>
      <c r="J420">
        <f>_xlfn.XLOOKUP(E420,'Products Master'!A:A,'Products Master'!C:C)</f>
        <v>50000</v>
      </c>
      <c r="K420" t="str">
        <f>_xlfn.XLOOKUP(E420,'Products Master'!A:A,'Products Master'!D:D)</f>
        <v>LG</v>
      </c>
      <c r="L420">
        <f t="shared" si="24"/>
        <v>60000</v>
      </c>
      <c r="M420">
        <f t="shared" si="25"/>
        <v>50000</v>
      </c>
      <c r="N420">
        <f t="shared" si="26"/>
        <v>10000</v>
      </c>
      <c r="O420" s="2">
        <f t="shared" si="27"/>
        <v>0.16666666666666666</v>
      </c>
    </row>
    <row r="421" spans="1:15">
      <c r="A421" t="s">
        <v>811</v>
      </c>
      <c r="B421" t="s">
        <v>674</v>
      </c>
      <c r="C421" t="s">
        <v>400</v>
      </c>
      <c r="D421" t="s">
        <v>34</v>
      </c>
      <c r="E421" t="s">
        <v>49</v>
      </c>
      <c r="F421">
        <v>1</v>
      </c>
      <c r="G421">
        <v>9500</v>
      </c>
      <c r="H421" t="s">
        <v>25</v>
      </c>
      <c r="I421" t="str">
        <f>_xlfn.XLOOKUP(E421,'Products Master'!A:A,'Products Master'!B:B)</f>
        <v>Accessories</v>
      </c>
      <c r="J421">
        <f>_xlfn.XLOOKUP(E421,'Products Master'!A:A,'Products Master'!C:C)</f>
        <v>7000</v>
      </c>
      <c r="K421" t="str">
        <f>_xlfn.XLOOKUP(E421,'Products Master'!A:A,'Products Master'!D:D)</f>
        <v>Logitech</v>
      </c>
      <c r="L421">
        <f t="shared" si="24"/>
        <v>9500</v>
      </c>
      <c r="M421">
        <f t="shared" si="25"/>
        <v>7000</v>
      </c>
      <c r="N421">
        <f t="shared" si="26"/>
        <v>2500</v>
      </c>
      <c r="O421" s="2">
        <f t="shared" si="27"/>
        <v>0.26315789473684209</v>
      </c>
    </row>
    <row r="422" spans="1:15">
      <c r="A422" t="s">
        <v>812</v>
      </c>
      <c r="B422" t="s">
        <v>813</v>
      </c>
      <c r="C422" t="s">
        <v>285</v>
      </c>
      <c r="D422" t="s">
        <v>17</v>
      </c>
      <c r="E422" t="s">
        <v>12</v>
      </c>
      <c r="F422">
        <v>5</v>
      </c>
      <c r="G422">
        <v>150000</v>
      </c>
      <c r="H422" t="s">
        <v>36</v>
      </c>
      <c r="I422" t="str">
        <f>_xlfn.XLOOKUP(E422,'Products Master'!A:A,'Products Master'!B:B)</f>
        <v>Electronics</v>
      </c>
      <c r="J422">
        <f>_xlfn.XLOOKUP(E422,'Products Master'!A:A,'Products Master'!C:C)</f>
        <v>120000</v>
      </c>
      <c r="K422" t="str">
        <f>_xlfn.XLOOKUP(E422,'Products Master'!A:A,'Products Master'!D:D)</f>
        <v>Dell</v>
      </c>
      <c r="L422">
        <f t="shared" si="24"/>
        <v>750000</v>
      </c>
      <c r="M422">
        <f t="shared" si="25"/>
        <v>600000</v>
      </c>
      <c r="N422">
        <f t="shared" si="26"/>
        <v>150000</v>
      </c>
      <c r="O422" s="2">
        <f t="shared" si="27"/>
        <v>0.2</v>
      </c>
    </row>
    <row r="423" spans="1:15">
      <c r="A423" t="s">
        <v>814</v>
      </c>
      <c r="B423" t="s">
        <v>453</v>
      </c>
      <c r="C423" t="s">
        <v>16</v>
      </c>
      <c r="D423" t="s">
        <v>29</v>
      </c>
      <c r="E423" t="s">
        <v>49</v>
      </c>
      <c r="F423">
        <v>4</v>
      </c>
      <c r="G423">
        <v>9500</v>
      </c>
      <c r="H423" t="s">
        <v>25</v>
      </c>
      <c r="I423" t="str">
        <f>_xlfn.XLOOKUP(E423,'Products Master'!A:A,'Products Master'!B:B)</f>
        <v>Accessories</v>
      </c>
      <c r="J423">
        <f>_xlfn.XLOOKUP(E423,'Products Master'!A:A,'Products Master'!C:C)</f>
        <v>7000</v>
      </c>
      <c r="K423" t="str">
        <f>_xlfn.XLOOKUP(E423,'Products Master'!A:A,'Products Master'!D:D)</f>
        <v>Logitech</v>
      </c>
      <c r="L423">
        <f t="shared" si="24"/>
        <v>38000</v>
      </c>
      <c r="M423">
        <f t="shared" si="25"/>
        <v>28000</v>
      </c>
      <c r="N423">
        <f t="shared" si="26"/>
        <v>10000</v>
      </c>
      <c r="O423" s="2">
        <f t="shared" si="27"/>
        <v>0.26315789473684209</v>
      </c>
    </row>
    <row r="424" spans="1:15">
      <c r="A424" t="s">
        <v>815</v>
      </c>
      <c r="B424" t="s">
        <v>488</v>
      </c>
      <c r="C424" t="s">
        <v>189</v>
      </c>
      <c r="D424" t="s">
        <v>11</v>
      </c>
      <c r="E424" t="s">
        <v>54</v>
      </c>
      <c r="F424">
        <v>5</v>
      </c>
      <c r="G424">
        <v>7000</v>
      </c>
      <c r="H424" t="s">
        <v>66</v>
      </c>
      <c r="I424" t="str">
        <f>_xlfn.XLOOKUP(E424,'Products Master'!A:A,'Products Master'!B:B)</f>
        <v>Accessories</v>
      </c>
      <c r="J424">
        <f>_xlfn.XLOOKUP(E424,'Products Master'!A:A,'Products Master'!C:C)</f>
        <v>5000</v>
      </c>
      <c r="K424" t="str">
        <f>_xlfn.XLOOKUP(E424,'Products Master'!A:A,'Products Master'!D:D)</f>
        <v>Sony</v>
      </c>
      <c r="L424">
        <f t="shared" si="24"/>
        <v>35000</v>
      </c>
      <c r="M424">
        <f t="shared" si="25"/>
        <v>25000</v>
      </c>
      <c r="N424">
        <f t="shared" si="26"/>
        <v>10000</v>
      </c>
      <c r="O424" s="2">
        <f t="shared" si="27"/>
        <v>0.2857142857142857</v>
      </c>
    </row>
    <row r="425" spans="1:15">
      <c r="A425" t="s">
        <v>816</v>
      </c>
      <c r="B425" t="s">
        <v>714</v>
      </c>
      <c r="C425" t="s">
        <v>74</v>
      </c>
      <c r="D425" t="s">
        <v>45</v>
      </c>
      <c r="E425" t="s">
        <v>35</v>
      </c>
      <c r="F425">
        <v>3</v>
      </c>
      <c r="G425">
        <v>2000</v>
      </c>
      <c r="H425" t="s">
        <v>36</v>
      </c>
      <c r="I425" t="str">
        <f>_xlfn.XLOOKUP(E425,'Products Master'!A:A,'Products Master'!B:B)</f>
        <v>Storage</v>
      </c>
      <c r="J425">
        <f>_xlfn.XLOOKUP(E425,'Products Master'!A:A,'Products Master'!C:C)</f>
        <v>1200</v>
      </c>
      <c r="K425" t="str">
        <f>_xlfn.XLOOKUP(E425,'Products Master'!A:A,'Products Master'!D:D)</f>
        <v>SanDisk</v>
      </c>
      <c r="L425">
        <f t="shared" si="24"/>
        <v>6000</v>
      </c>
      <c r="M425">
        <f t="shared" si="25"/>
        <v>3600</v>
      </c>
      <c r="N425">
        <f t="shared" si="26"/>
        <v>2400</v>
      </c>
      <c r="O425" s="2">
        <f t="shared" si="27"/>
        <v>0.4</v>
      </c>
    </row>
    <row r="426" spans="1:15">
      <c r="A426" t="s">
        <v>817</v>
      </c>
      <c r="B426" t="s">
        <v>386</v>
      </c>
      <c r="C426" t="s">
        <v>167</v>
      </c>
      <c r="D426" t="s">
        <v>23</v>
      </c>
      <c r="E426" t="s">
        <v>24</v>
      </c>
      <c r="F426">
        <v>3</v>
      </c>
      <c r="G426">
        <v>2500</v>
      </c>
      <c r="H426" t="s">
        <v>13</v>
      </c>
      <c r="I426" t="str">
        <f>_xlfn.XLOOKUP(E426,'Products Master'!A:A,'Products Master'!B:B)</f>
        <v>Accessories</v>
      </c>
      <c r="J426">
        <f>_xlfn.XLOOKUP(E426,'Products Master'!A:A,'Products Master'!C:C)</f>
        <v>1500</v>
      </c>
      <c r="K426" t="str">
        <f>_xlfn.XLOOKUP(E426,'Products Master'!A:A,'Products Master'!D:D)</f>
        <v>Logitech</v>
      </c>
      <c r="L426">
        <f t="shared" si="24"/>
        <v>7500</v>
      </c>
      <c r="M426">
        <f t="shared" si="25"/>
        <v>4500</v>
      </c>
      <c r="N426">
        <f t="shared" si="26"/>
        <v>3000</v>
      </c>
      <c r="O426" s="2">
        <f t="shared" si="27"/>
        <v>0.4</v>
      </c>
    </row>
    <row r="427" spans="1:15">
      <c r="A427" t="s">
        <v>818</v>
      </c>
      <c r="B427" t="s">
        <v>493</v>
      </c>
      <c r="C427" t="s">
        <v>346</v>
      </c>
      <c r="D427" t="s">
        <v>17</v>
      </c>
      <c r="E427" t="s">
        <v>24</v>
      </c>
      <c r="F427">
        <v>5</v>
      </c>
      <c r="G427">
        <v>2500</v>
      </c>
      <c r="H427" t="s">
        <v>36</v>
      </c>
      <c r="I427" t="str">
        <f>_xlfn.XLOOKUP(E427,'Products Master'!A:A,'Products Master'!B:B)</f>
        <v>Accessories</v>
      </c>
      <c r="J427">
        <f>_xlfn.XLOOKUP(E427,'Products Master'!A:A,'Products Master'!C:C)</f>
        <v>1500</v>
      </c>
      <c r="K427" t="str">
        <f>_xlfn.XLOOKUP(E427,'Products Master'!A:A,'Products Master'!D:D)</f>
        <v>Logitech</v>
      </c>
      <c r="L427">
        <f t="shared" si="24"/>
        <v>12500</v>
      </c>
      <c r="M427">
        <f t="shared" si="25"/>
        <v>7500</v>
      </c>
      <c r="N427">
        <f t="shared" si="26"/>
        <v>5000</v>
      </c>
      <c r="O427" s="2">
        <f t="shared" si="27"/>
        <v>0.4</v>
      </c>
    </row>
    <row r="428" spans="1:15">
      <c r="A428" t="s">
        <v>819</v>
      </c>
      <c r="B428" t="s">
        <v>369</v>
      </c>
      <c r="C428" t="s">
        <v>341</v>
      </c>
      <c r="D428" t="s">
        <v>45</v>
      </c>
      <c r="E428" t="s">
        <v>179</v>
      </c>
      <c r="F428">
        <v>5</v>
      </c>
      <c r="G428">
        <v>80000</v>
      </c>
      <c r="H428" t="s">
        <v>41</v>
      </c>
      <c r="I428" t="str">
        <f>_xlfn.XLOOKUP(E428,'Products Master'!A:A,'Products Master'!B:B)</f>
        <v>Electronics</v>
      </c>
      <c r="J428">
        <f>_xlfn.XLOOKUP(E428,'Products Master'!A:A,'Products Master'!C:C)</f>
        <v>65000</v>
      </c>
      <c r="K428" t="str">
        <f>_xlfn.XLOOKUP(E428,'Products Master'!A:A,'Products Master'!D:D)</f>
        <v>Samsung</v>
      </c>
      <c r="L428">
        <f t="shared" si="24"/>
        <v>400000</v>
      </c>
      <c r="M428">
        <f t="shared" si="25"/>
        <v>325000</v>
      </c>
      <c r="N428">
        <f t="shared" si="26"/>
        <v>75000</v>
      </c>
      <c r="O428" s="2">
        <f t="shared" si="27"/>
        <v>0.1875</v>
      </c>
    </row>
    <row r="429" spans="1:15">
      <c r="A429" t="s">
        <v>820</v>
      </c>
      <c r="B429" t="s">
        <v>273</v>
      </c>
      <c r="C429" t="s">
        <v>353</v>
      </c>
      <c r="D429" t="s">
        <v>23</v>
      </c>
      <c r="E429" t="s">
        <v>40</v>
      </c>
      <c r="F429">
        <v>3</v>
      </c>
      <c r="G429">
        <v>60000</v>
      </c>
      <c r="H429" t="s">
        <v>25</v>
      </c>
      <c r="I429" t="str">
        <f>_xlfn.XLOOKUP(E429,'Products Master'!A:A,'Products Master'!B:B)</f>
        <v>Electronics</v>
      </c>
      <c r="J429">
        <f>_xlfn.XLOOKUP(E429,'Products Master'!A:A,'Products Master'!C:C)</f>
        <v>50000</v>
      </c>
      <c r="K429" t="str">
        <f>_xlfn.XLOOKUP(E429,'Products Master'!A:A,'Products Master'!D:D)</f>
        <v>LG</v>
      </c>
      <c r="L429">
        <f t="shared" si="24"/>
        <v>180000</v>
      </c>
      <c r="M429">
        <f t="shared" si="25"/>
        <v>150000</v>
      </c>
      <c r="N429">
        <f t="shared" si="26"/>
        <v>30000</v>
      </c>
      <c r="O429" s="2">
        <f t="shared" si="27"/>
        <v>0.16666666666666666</v>
      </c>
    </row>
    <row r="430" spans="1:15">
      <c r="A430" t="s">
        <v>821</v>
      </c>
      <c r="B430" t="s">
        <v>822</v>
      </c>
      <c r="C430" t="s">
        <v>10</v>
      </c>
      <c r="D430" t="s">
        <v>111</v>
      </c>
      <c r="E430" t="s">
        <v>24</v>
      </c>
      <c r="F430">
        <v>2</v>
      </c>
      <c r="G430">
        <v>2500</v>
      </c>
      <c r="H430" t="s">
        <v>41</v>
      </c>
      <c r="I430" t="str">
        <f>_xlfn.XLOOKUP(E430,'Products Master'!A:A,'Products Master'!B:B)</f>
        <v>Accessories</v>
      </c>
      <c r="J430">
        <f>_xlfn.XLOOKUP(E430,'Products Master'!A:A,'Products Master'!C:C)</f>
        <v>1500</v>
      </c>
      <c r="K430" t="str">
        <f>_xlfn.XLOOKUP(E430,'Products Master'!A:A,'Products Master'!D:D)</f>
        <v>Logitech</v>
      </c>
      <c r="L430">
        <f t="shared" si="24"/>
        <v>5000</v>
      </c>
      <c r="M430">
        <f t="shared" si="25"/>
        <v>3000</v>
      </c>
      <c r="N430">
        <f t="shared" si="26"/>
        <v>2000</v>
      </c>
      <c r="O430" s="2">
        <f t="shared" si="27"/>
        <v>0.4</v>
      </c>
    </row>
    <row r="431" spans="1:15">
      <c r="A431" t="s">
        <v>823</v>
      </c>
      <c r="B431" t="s">
        <v>142</v>
      </c>
      <c r="C431" t="s">
        <v>48</v>
      </c>
      <c r="D431" t="s">
        <v>11</v>
      </c>
      <c r="E431" t="s">
        <v>179</v>
      </c>
      <c r="F431">
        <v>4</v>
      </c>
      <c r="G431">
        <v>80000</v>
      </c>
      <c r="H431" t="s">
        <v>95</v>
      </c>
      <c r="I431" t="str">
        <f>_xlfn.XLOOKUP(E431,'Products Master'!A:A,'Products Master'!B:B)</f>
        <v>Electronics</v>
      </c>
      <c r="J431">
        <f>_xlfn.XLOOKUP(E431,'Products Master'!A:A,'Products Master'!C:C)</f>
        <v>65000</v>
      </c>
      <c r="K431" t="str">
        <f>_xlfn.XLOOKUP(E431,'Products Master'!A:A,'Products Master'!D:D)</f>
        <v>Samsung</v>
      </c>
      <c r="L431">
        <f t="shared" si="24"/>
        <v>320000</v>
      </c>
      <c r="M431">
        <f t="shared" si="25"/>
        <v>260000</v>
      </c>
      <c r="N431">
        <f t="shared" si="26"/>
        <v>60000</v>
      </c>
      <c r="O431" s="2">
        <f t="shared" si="27"/>
        <v>0.1875</v>
      </c>
    </row>
    <row r="432" spans="1:15">
      <c r="A432" t="s">
        <v>824</v>
      </c>
      <c r="B432" t="s">
        <v>520</v>
      </c>
      <c r="C432" t="s">
        <v>285</v>
      </c>
      <c r="D432" t="s">
        <v>115</v>
      </c>
      <c r="E432" t="s">
        <v>124</v>
      </c>
      <c r="F432">
        <v>3</v>
      </c>
      <c r="G432">
        <v>18000</v>
      </c>
      <c r="H432" t="s">
        <v>41</v>
      </c>
      <c r="I432" t="str">
        <f>_xlfn.XLOOKUP(E432,'Products Master'!A:A,'Products Master'!B:B)</f>
        <v>Storage</v>
      </c>
      <c r="J432">
        <f>_xlfn.XLOOKUP(E432,'Products Master'!A:A,'Products Master'!C:C)</f>
        <v>12000</v>
      </c>
      <c r="K432" t="str">
        <f>_xlfn.XLOOKUP(E432,'Products Master'!A:A,'Products Master'!D:D)</f>
        <v>Kingston</v>
      </c>
      <c r="L432">
        <f t="shared" si="24"/>
        <v>54000</v>
      </c>
      <c r="M432">
        <f t="shared" si="25"/>
        <v>36000</v>
      </c>
      <c r="N432">
        <f t="shared" si="26"/>
        <v>18000</v>
      </c>
      <c r="O432" s="2">
        <f t="shared" si="27"/>
        <v>0.33333333333333331</v>
      </c>
    </row>
    <row r="433" spans="1:15">
      <c r="A433" t="s">
        <v>825</v>
      </c>
      <c r="B433" t="s">
        <v>551</v>
      </c>
      <c r="C433" t="s">
        <v>330</v>
      </c>
      <c r="D433" t="s">
        <v>29</v>
      </c>
      <c r="E433" t="s">
        <v>99</v>
      </c>
      <c r="F433">
        <v>4</v>
      </c>
      <c r="G433">
        <v>5000</v>
      </c>
      <c r="H433" t="s">
        <v>66</v>
      </c>
      <c r="I433" t="str">
        <f>_xlfn.XLOOKUP(E433,'Products Master'!A:A,'Products Master'!B:B)</f>
        <v>Accessories</v>
      </c>
      <c r="J433">
        <f>_xlfn.XLOOKUP(E433,'Products Master'!A:A,'Products Master'!C:C)</f>
        <v>3500</v>
      </c>
      <c r="K433" t="str">
        <f>_xlfn.XLOOKUP(E433,'Products Master'!A:A,'Products Master'!D:D)</f>
        <v>Logitech</v>
      </c>
      <c r="L433">
        <f t="shared" si="24"/>
        <v>20000</v>
      </c>
      <c r="M433">
        <f t="shared" si="25"/>
        <v>14000</v>
      </c>
      <c r="N433">
        <f t="shared" si="26"/>
        <v>6000</v>
      </c>
      <c r="O433" s="2">
        <f t="shared" si="27"/>
        <v>0.3</v>
      </c>
    </row>
    <row r="434" spans="1:15">
      <c r="A434" t="s">
        <v>826</v>
      </c>
      <c r="B434" t="s">
        <v>218</v>
      </c>
      <c r="C434" t="s">
        <v>312</v>
      </c>
      <c r="D434" t="s">
        <v>115</v>
      </c>
      <c r="E434" t="s">
        <v>24</v>
      </c>
      <c r="F434">
        <v>2</v>
      </c>
      <c r="G434">
        <v>2500</v>
      </c>
      <c r="H434" t="s">
        <v>50</v>
      </c>
      <c r="I434" t="str">
        <f>_xlfn.XLOOKUP(E434,'Products Master'!A:A,'Products Master'!B:B)</f>
        <v>Accessories</v>
      </c>
      <c r="J434">
        <f>_xlfn.XLOOKUP(E434,'Products Master'!A:A,'Products Master'!C:C)</f>
        <v>1500</v>
      </c>
      <c r="K434" t="str">
        <f>_xlfn.XLOOKUP(E434,'Products Master'!A:A,'Products Master'!D:D)</f>
        <v>Logitech</v>
      </c>
      <c r="L434">
        <f t="shared" si="24"/>
        <v>5000</v>
      </c>
      <c r="M434">
        <f t="shared" si="25"/>
        <v>3000</v>
      </c>
      <c r="N434">
        <f t="shared" si="26"/>
        <v>2000</v>
      </c>
      <c r="O434" s="2">
        <f t="shared" si="27"/>
        <v>0.4</v>
      </c>
    </row>
    <row r="435" spans="1:15">
      <c r="A435" t="s">
        <v>827</v>
      </c>
      <c r="B435" t="s">
        <v>458</v>
      </c>
      <c r="C435" t="s">
        <v>143</v>
      </c>
      <c r="D435" t="s">
        <v>11</v>
      </c>
      <c r="E435" t="s">
        <v>12</v>
      </c>
      <c r="F435">
        <v>2</v>
      </c>
      <c r="G435">
        <v>150000</v>
      </c>
      <c r="H435" t="s">
        <v>19</v>
      </c>
      <c r="I435" t="str">
        <f>_xlfn.XLOOKUP(E435,'Products Master'!A:A,'Products Master'!B:B)</f>
        <v>Electronics</v>
      </c>
      <c r="J435">
        <f>_xlfn.XLOOKUP(E435,'Products Master'!A:A,'Products Master'!C:C)</f>
        <v>120000</v>
      </c>
      <c r="K435" t="str">
        <f>_xlfn.XLOOKUP(E435,'Products Master'!A:A,'Products Master'!D:D)</f>
        <v>Dell</v>
      </c>
      <c r="L435">
        <f t="shared" si="24"/>
        <v>300000</v>
      </c>
      <c r="M435">
        <f t="shared" si="25"/>
        <v>240000</v>
      </c>
      <c r="N435">
        <f t="shared" si="26"/>
        <v>60000</v>
      </c>
      <c r="O435" s="2">
        <f t="shared" si="27"/>
        <v>0.2</v>
      </c>
    </row>
    <row r="436" spans="1:15">
      <c r="A436" t="s">
        <v>828</v>
      </c>
      <c r="B436" t="s">
        <v>309</v>
      </c>
      <c r="C436" t="s">
        <v>614</v>
      </c>
      <c r="D436" t="s">
        <v>29</v>
      </c>
      <c r="E436" t="s">
        <v>35</v>
      </c>
      <c r="F436">
        <v>2</v>
      </c>
      <c r="G436">
        <v>2000</v>
      </c>
      <c r="H436" t="s">
        <v>95</v>
      </c>
      <c r="I436" t="str">
        <f>_xlfn.XLOOKUP(E436,'Products Master'!A:A,'Products Master'!B:B)</f>
        <v>Storage</v>
      </c>
      <c r="J436">
        <f>_xlfn.XLOOKUP(E436,'Products Master'!A:A,'Products Master'!C:C)</f>
        <v>1200</v>
      </c>
      <c r="K436" t="str">
        <f>_xlfn.XLOOKUP(E436,'Products Master'!A:A,'Products Master'!D:D)</f>
        <v>SanDisk</v>
      </c>
      <c r="L436">
        <f t="shared" si="24"/>
        <v>4000</v>
      </c>
      <c r="M436">
        <f t="shared" si="25"/>
        <v>2400</v>
      </c>
      <c r="N436">
        <f t="shared" si="26"/>
        <v>1600</v>
      </c>
      <c r="O436" s="2">
        <f t="shared" si="27"/>
        <v>0.4</v>
      </c>
    </row>
    <row r="437" spans="1:15">
      <c r="A437" t="s">
        <v>829</v>
      </c>
      <c r="B437" t="s">
        <v>206</v>
      </c>
      <c r="C437" t="s">
        <v>98</v>
      </c>
      <c r="D437" t="s">
        <v>17</v>
      </c>
      <c r="E437" t="s">
        <v>18</v>
      </c>
      <c r="F437">
        <v>2</v>
      </c>
      <c r="G437">
        <v>45000</v>
      </c>
      <c r="H437" t="s">
        <v>30</v>
      </c>
      <c r="I437" t="str">
        <f>_xlfn.XLOOKUP(E437,'Products Master'!A:A,'Products Master'!B:B)</f>
        <v>Electronics</v>
      </c>
      <c r="J437">
        <f>_xlfn.XLOOKUP(E437,'Products Master'!A:A,'Products Master'!C:C)</f>
        <v>35000</v>
      </c>
      <c r="K437" t="str">
        <f>_xlfn.XLOOKUP(E437,'Products Master'!A:A,'Products Master'!D:D)</f>
        <v>HP</v>
      </c>
      <c r="L437">
        <f t="shared" si="24"/>
        <v>90000</v>
      </c>
      <c r="M437">
        <f t="shared" si="25"/>
        <v>70000</v>
      </c>
      <c r="N437">
        <f t="shared" si="26"/>
        <v>20000</v>
      </c>
      <c r="O437" s="2">
        <f t="shared" si="27"/>
        <v>0.22222222222222221</v>
      </c>
    </row>
    <row r="438" spans="1:15">
      <c r="A438" t="s">
        <v>830</v>
      </c>
      <c r="B438" t="s">
        <v>762</v>
      </c>
      <c r="C438" t="s">
        <v>831</v>
      </c>
      <c r="D438" t="s">
        <v>34</v>
      </c>
      <c r="E438" t="s">
        <v>54</v>
      </c>
      <c r="F438">
        <v>3</v>
      </c>
      <c r="G438">
        <v>7000</v>
      </c>
      <c r="H438" t="s">
        <v>19</v>
      </c>
      <c r="I438" t="str">
        <f>_xlfn.XLOOKUP(E438,'Products Master'!A:A,'Products Master'!B:B)</f>
        <v>Accessories</v>
      </c>
      <c r="J438">
        <f>_xlfn.XLOOKUP(E438,'Products Master'!A:A,'Products Master'!C:C)</f>
        <v>5000</v>
      </c>
      <c r="K438" t="str">
        <f>_xlfn.XLOOKUP(E438,'Products Master'!A:A,'Products Master'!D:D)</f>
        <v>Sony</v>
      </c>
      <c r="L438">
        <f t="shared" si="24"/>
        <v>21000</v>
      </c>
      <c r="M438">
        <f t="shared" si="25"/>
        <v>15000</v>
      </c>
      <c r="N438">
        <f t="shared" si="26"/>
        <v>6000</v>
      </c>
      <c r="O438" s="2">
        <f t="shared" si="27"/>
        <v>0.2857142857142857</v>
      </c>
    </row>
    <row r="439" spans="1:15">
      <c r="A439" t="s">
        <v>832</v>
      </c>
      <c r="B439" t="s">
        <v>833</v>
      </c>
      <c r="C439" t="s">
        <v>194</v>
      </c>
      <c r="D439" t="s">
        <v>23</v>
      </c>
      <c r="E439" t="s">
        <v>40</v>
      </c>
      <c r="F439">
        <v>5</v>
      </c>
      <c r="G439">
        <v>60000</v>
      </c>
      <c r="H439" t="s">
        <v>25</v>
      </c>
      <c r="I439" t="str">
        <f>_xlfn.XLOOKUP(E439,'Products Master'!A:A,'Products Master'!B:B)</f>
        <v>Electronics</v>
      </c>
      <c r="J439">
        <f>_xlfn.XLOOKUP(E439,'Products Master'!A:A,'Products Master'!C:C)</f>
        <v>50000</v>
      </c>
      <c r="K439" t="str">
        <f>_xlfn.XLOOKUP(E439,'Products Master'!A:A,'Products Master'!D:D)</f>
        <v>LG</v>
      </c>
      <c r="L439">
        <f t="shared" si="24"/>
        <v>300000</v>
      </c>
      <c r="M439">
        <f t="shared" si="25"/>
        <v>250000</v>
      </c>
      <c r="N439">
        <f t="shared" si="26"/>
        <v>50000</v>
      </c>
      <c r="O439" s="2">
        <f t="shared" si="27"/>
        <v>0.16666666666666666</v>
      </c>
    </row>
    <row r="440" spans="1:15">
      <c r="A440" t="s">
        <v>834</v>
      </c>
      <c r="B440" t="s">
        <v>360</v>
      </c>
      <c r="C440" t="s">
        <v>697</v>
      </c>
      <c r="D440" t="s">
        <v>11</v>
      </c>
      <c r="E440" t="s">
        <v>24</v>
      </c>
      <c r="F440">
        <v>1</v>
      </c>
      <c r="G440">
        <v>2500</v>
      </c>
      <c r="H440" t="s">
        <v>25</v>
      </c>
      <c r="I440" t="str">
        <f>_xlfn.XLOOKUP(E440,'Products Master'!A:A,'Products Master'!B:B)</f>
        <v>Accessories</v>
      </c>
      <c r="J440">
        <f>_xlfn.XLOOKUP(E440,'Products Master'!A:A,'Products Master'!C:C)</f>
        <v>1500</v>
      </c>
      <c r="K440" t="str">
        <f>_xlfn.XLOOKUP(E440,'Products Master'!A:A,'Products Master'!D:D)</f>
        <v>Logitech</v>
      </c>
      <c r="L440">
        <f t="shared" si="24"/>
        <v>2500</v>
      </c>
      <c r="M440">
        <f t="shared" si="25"/>
        <v>1500</v>
      </c>
      <c r="N440">
        <f t="shared" si="26"/>
        <v>1000</v>
      </c>
      <c r="O440" s="2">
        <f t="shared" si="27"/>
        <v>0.4</v>
      </c>
    </row>
    <row r="441" spans="1:15">
      <c r="A441" t="s">
        <v>835</v>
      </c>
      <c r="B441" t="s">
        <v>38</v>
      </c>
      <c r="C441" t="s">
        <v>127</v>
      </c>
      <c r="D441" t="s">
        <v>111</v>
      </c>
      <c r="E441" t="s">
        <v>40</v>
      </c>
      <c r="F441">
        <v>2</v>
      </c>
      <c r="G441">
        <v>60000</v>
      </c>
      <c r="H441" t="s">
        <v>41</v>
      </c>
      <c r="I441" t="str">
        <f>_xlfn.XLOOKUP(E441,'Products Master'!A:A,'Products Master'!B:B)</f>
        <v>Electronics</v>
      </c>
      <c r="J441">
        <f>_xlfn.XLOOKUP(E441,'Products Master'!A:A,'Products Master'!C:C)</f>
        <v>50000</v>
      </c>
      <c r="K441" t="str">
        <f>_xlfn.XLOOKUP(E441,'Products Master'!A:A,'Products Master'!D:D)</f>
        <v>LG</v>
      </c>
      <c r="L441">
        <f t="shared" si="24"/>
        <v>120000</v>
      </c>
      <c r="M441">
        <f t="shared" si="25"/>
        <v>100000</v>
      </c>
      <c r="N441">
        <f t="shared" si="26"/>
        <v>20000</v>
      </c>
      <c r="O441" s="2">
        <f t="shared" si="27"/>
        <v>0.16666666666666666</v>
      </c>
    </row>
    <row r="442" spans="1:15">
      <c r="A442" t="s">
        <v>836</v>
      </c>
      <c r="B442" t="s">
        <v>218</v>
      </c>
      <c r="C442" t="s">
        <v>127</v>
      </c>
      <c r="D442" t="s">
        <v>17</v>
      </c>
      <c r="E442" t="s">
        <v>49</v>
      </c>
      <c r="F442">
        <v>2</v>
      </c>
      <c r="G442">
        <v>9500</v>
      </c>
      <c r="H442" t="s">
        <v>25</v>
      </c>
      <c r="I442" t="str">
        <f>_xlfn.XLOOKUP(E442,'Products Master'!A:A,'Products Master'!B:B)</f>
        <v>Accessories</v>
      </c>
      <c r="J442">
        <f>_xlfn.XLOOKUP(E442,'Products Master'!A:A,'Products Master'!C:C)</f>
        <v>7000</v>
      </c>
      <c r="K442" t="str">
        <f>_xlfn.XLOOKUP(E442,'Products Master'!A:A,'Products Master'!D:D)</f>
        <v>Logitech</v>
      </c>
      <c r="L442">
        <f t="shared" si="24"/>
        <v>19000</v>
      </c>
      <c r="M442">
        <f t="shared" si="25"/>
        <v>14000</v>
      </c>
      <c r="N442">
        <f t="shared" si="26"/>
        <v>5000</v>
      </c>
      <c r="O442" s="2">
        <f t="shared" si="27"/>
        <v>0.26315789473684209</v>
      </c>
    </row>
    <row r="443" spans="1:15">
      <c r="A443" t="s">
        <v>837</v>
      </c>
      <c r="B443" t="s">
        <v>606</v>
      </c>
      <c r="C443" t="s">
        <v>60</v>
      </c>
      <c r="D443" t="s">
        <v>17</v>
      </c>
      <c r="E443" t="s">
        <v>35</v>
      </c>
      <c r="F443">
        <v>4</v>
      </c>
      <c r="G443">
        <v>2000</v>
      </c>
      <c r="H443" t="s">
        <v>13</v>
      </c>
      <c r="I443" t="str">
        <f>_xlfn.XLOOKUP(E443,'Products Master'!A:A,'Products Master'!B:B)</f>
        <v>Storage</v>
      </c>
      <c r="J443">
        <f>_xlfn.XLOOKUP(E443,'Products Master'!A:A,'Products Master'!C:C)</f>
        <v>1200</v>
      </c>
      <c r="K443" t="str">
        <f>_xlfn.XLOOKUP(E443,'Products Master'!A:A,'Products Master'!D:D)</f>
        <v>SanDisk</v>
      </c>
      <c r="L443">
        <f t="shared" si="24"/>
        <v>8000</v>
      </c>
      <c r="M443">
        <f t="shared" si="25"/>
        <v>4800</v>
      </c>
      <c r="N443">
        <f t="shared" si="26"/>
        <v>3200</v>
      </c>
      <c r="O443" s="2">
        <f t="shared" si="27"/>
        <v>0.4</v>
      </c>
    </row>
    <row r="444" spans="1:15">
      <c r="A444" t="s">
        <v>838</v>
      </c>
      <c r="B444" t="s">
        <v>413</v>
      </c>
      <c r="C444" t="s">
        <v>94</v>
      </c>
      <c r="D444" t="s">
        <v>115</v>
      </c>
      <c r="E444" t="s">
        <v>40</v>
      </c>
      <c r="F444">
        <v>4</v>
      </c>
      <c r="G444">
        <v>60000</v>
      </c>
      <c r="H444" t="s">
        <v>41</v>
      </c>
      <c r="I444" t="str">
        <f>_xlfn.XLOOKUP(E444,'Products Master'!A:A,'Products Master'!B:B)</f>
        <v>Electronics</v>
      </c>
      <c r="J444">
        <f>_xlfn.XLOOKUP(E444,'Products Master'!A:A,'Products Master'!C:C)</f>
        <v>50000</v>
      </c>
      <c r="K444" t="str">
        <f>_xlfn.XLOOKUP(E444,'Products Master'!A:A,'Products Master'!D:D)</f>
        <v>LG</v>
      </c>
      <c r="L444">
        <f t="shared" si="24"/>
        <v>240000</v>
      </c>
      <c r="M444">
        <f t="shared" si="25"/>
        <v>200000</v>
      </c>
      <c r="N444">
        <f t="shared" si="26"/>
        <v>40000</v>
      </c>
      <c r="O444" s="2">
        <f t="shared" si="27"/>
        <v>0.16666666666666666</v>
      </c>
    </row>
    <row r="445" spans="1:15">
      <c r="A445" t="s">
        <v>839</v>
      </c>
      <c r="B445" t="s">
        <v>142</v>
      </c>
      <c r="C445" t="s">
        <v>147</v>
      </c>
      <c r="D445" t="s">
        <v>17</v>
      </c>
      <c r="E445" t="s">
        <v>99</v>
      </c>
      <c r="F445">
        <v>1</v>
      </c>
      <c r="G445">
        <v>5000</v>
      </c>
      <c r="H445" t="s">
        <v>116</v>
      </c>
      <c r="I445" t="str">
        <f>_xlfn.XLOOKUP(E445,'Products Master'!A:A,'Products Master'!B:B)</f>
        <v>Accessories</v>
      </c>
      <c r="J445">
        <f>_xlfn.XLOOKUP(E445,'Products Master'!A:A,'Products Master'!C:C)</f>
        <v>3500</v>
      </c>
      <c r="K445" t="str">
        <f>_xlfn.XLOOKUP(E445,'Products Master'!A:A,'Products Master'!D:D)</f>
        <v>Logitech</v>
      </c>
      <c r="L445">
        <f t="shared" si="24"/>
        <v>5000</v>
      </c>
      <c r="M445">
        <f t="shared" si="25"/>
        <v>3500</v>
      </c>
      <c r="N445">
        <f t="shared" si="26"/>
        <v>1500</v>
      </c>
      <c r="O445" s="2">
        <f t="shared" si="27"/>
        <v>0.3</v>
      </c>
    </row>
    <row r="446" spans="1:15">
      <c r="A446" t="s">
        <v>840</v>
      </c>
      <c r="B446" t="s">
        <v>707</v>
      </c>
      <c r="C446" t="s">
        <v>162</v>
      </c>
      <c r="D446" t="s">
        <v>45</v>
      </c>
      <c r="E446" t="s">
        <v>12</v>
      </c>
      <c r="F446">
        <v>2</v>
      </c>
      <c r="G446">
        <v>150000</v>
      </c>
      <c r="H446" t="s">
        <v>41</v>
      </c>
      <c r="I446" t="str">
        <f>_xlfn.XLOOKUP(E446,'Products Master'!A:A,'Products Master'!B:B)</f>
        <v>Electronics</v>
      </c>
      <c r="J446">
        <f>_xlfn.XLOOKUP(E446,'Products Master'!A:A,'Products Master'!C:C)</f>
        <v>120000</v>
      </c>
      <c r="K446" t="str">
        <f>_xlfn.XLOOKUP(E446,'Products Master'!A:A,'Products Master'!D:D)</f>
        <v>Dell</v>
      </c>
      <c r="L446">
        <f t="shared" si="24"/>
        <v>300000</v>
      </c>
      <c r="M446">
        <f t="shared" si="25"/>
        <v>240000</v>
      </c>
      <c r="N446">
        <f t="shared" si="26"/>
        <v>60000</v>
      </c>
      <c r="O446" s="2">
        <f t="shared" si="27"/>
        <v>0.2</v>
      </c>
    </row>
    <row r="447" spans="1:15">
      <c r="A447" t="s">
        <v>841</v>
      </c>
      <c r="B447" t="s">
        <v>71</v>
      </c>
      <c r="C447" t="s">
        <v>842</v>
      </c>
      <c r="D447" t="s">
        <v>45</v>
      </c>
      <c r="E447" t="s">
        <v>18</v>
      </c>
      <c r="F447">
        <v>4</v>
      </c>
      <c r="G447">
        <v>45000</v>
      </c>
      <c r="H447" t="s">
        <v>13</v>
      </c>
      <c r="I447" t="str">
        <f>_xlfn.XLOOKUP(E447,'Products Master'!A:A,'Products Master'!B:B)</f>
        <v>Electronics</v>
      </c>
      <c r="J447">
        <f>_xlfn.XLOOKUP(E447,'Products Master'!A:A,'Products Master'!C:C)</f>
        <v>35000</v>
      </c>
      <c r="K447" t="str">
        <f>_xlfn.XLOOKUP(E447,'Products Master'!A:A,'Products Master'!D:D)</f>
        <v>HP</v>
      </c>
      <c r="L447">
        <f t="shared" si="24"/>
        <v>180000</v>
      </c>
      <c r="M447">
        <f t="shared" si="25"/>
        <v>140000</v>
      </c>
      <c r="N447">
        <f t="shared" si="26"/>
        <v>40000</v>
      </c>
      <c r="O447" s="2">
        <f t="shared" si="27"/>
        <v>0.22222222222222221</v>
      </c>
    </row>
    <row r="448" spans="1:15">
      <c r="A448" t="s">
        <v>843</v>
      </c>
      <c r="B448" t="s">
        <v>198</v>
      </c>
      <c r="C448" t="s">
        <v>536</v>
      </c>
      <c r="D448" t="s">
        <v>45</v>
      </c>
      <c r="E448" t="s">
        <v>179</v>
      </c>
      <c r="F448">
        <v>5</v>
      </c>
      <c r="G448">
        <v>80000</v>
      </c>
      <c r="H448" t="s">
        <v>13</v>
      </c>
      <c r="I448" t="str">
        <f>_xlfn.XLOOKUP(E448,'Products Master'!A:A,'Products Master'!B:B)</f>
        <v>Electronics</v>
      </c>
      <c r="J448">
        <f>_xlfn.XLOOKUP(E448,'Products Master'!A:A,'Products Master'!C:C)</f>
        <v>65000</v>
      </c>
      <c r="K448" t="str">
        <f>_xlfn.XLOOKUP(E448,'Products Master'!A:A,'Products Master'!D:D)</f>
        <v>Samsung</v>
      </c>
      <c r="L448">
        <f t="shared" si="24"/>
        <v>400000</v>
      </c>
      <c r="M448">
        <f t="shared" si="25"/>
        <v>325000</v>
      </c>
      <c r="N448">
        <f t="shared" si="26"/>
        <v>75000</v>
      </c>
      <c r="O448" s="2">
        <f t="shared" si="27"/>
        <v>0.1875</v>
      </c>
    </row>
    <row r="449" spans="1:15">
      <c r="A449" t="s">
        <v>844</v>
      </c>
      <c r="B449" t="s">
        <v>218</v>
      </c>
      <c r="C449" t="s">
        <v>568</v>
      </c>
      <c r="D449" t="s">
        <v>45</v>
      </c>
      <c r="E449" t="s">
        <v>179</v>
      </c>
      <c r="F449">
        <v>1</v>
      </c>
      <c r="G449">
        <v>80000</v>
      </c>
      <c r="H449" t="s">
        <v>19</v>
      </c>
      <c r="I449" t="str">
        <f>_xlfn.XLOOKUP(E449,'Products Master'!A:A,'Products Master'!B:B)</f>
        <v>Electronics</v>
      </c>
      <c r="J449">
        <f>_xlfn.XLOOKUP(E449,'Products Master'!A:A,'Products Master'!C:C)</f>
        <v>65000</v>
      </c>
      <c r="K449" t="str">
        <f>_xlfn.XLOOKUP(E449,'Products Master'!A:A,'Products Master'!D:D)</f>
        <v>Samsung</v>
      </c>
      <c r="L449">
        <f t="shared" si="24"/>
        <v>80000</v>
      </c>
      <c r="M449">
        <f t="shared" si="25"/>
        <v>65000</v>
      </c>
      <c r="N449">
        <f t="shared" si="26"/>
        <v>15000</v>
      </c>
      <c r="O449" s="2">
        <f t="shared" si="27"/>
        <v>0.1875</v>
      </c>
    </row>
    <row r="450" spans="1:15">
      <c r="A450" t="s">
        <v>845</v>
      </c>
      <c r="B450" t="s">
        <v>447</v>
      </c>
      <c r="C450" t="s">
        <v>382</v>
      </c>
      <c r="D450" t="s">
        <v>45</v>
      </c>
      <c r="E450" t="s">
        <v>124</v>
      </c>
      <c r="F450">
        <v>3</v>
      </c>
      <c r="G450">
        <v>18000</v>
      </c>
      <c r="H450" t="s">
        <v>116</v>
      </c>
      <c r="I450" t="str">
        <f>_xlfn.XLOOKUP(E450,'Products Master'!A:A,'Products Master'!B:B)</f>
        <v>Storage</v>
      </c>
      <c r="J450">
        <f>_xlfn.XLOOKUP(E450,'Products Master'!A:A,'Products Master'!C:C)</f>
        <v>12000</v>
      </c>
      <c r="K450" t="str">
        <f>_xlfn.XLOOKUP(E450,'Products Master'!A:A,'Products Master'!D:D)</f>
        <v>Kingston</v>
      </c>
      <c r="L450">
        <f t="shared" si="24"/>
        <v>54000</v>
      </c>
      <c r="M450">
        <f t="shared" si="25"/>
        <v>36000</v>
      </c>
      <c r="N450">
        <f t="shared" si="26"/>
        <v>18000</v>
      </c>
      <c r="O450" s="2">
        <f t="shared" si="27"/>
        <v>0.33333333333333331</v>
      </c>
    </row>
    <row r="451" spans="1:15">
      <c r="A451" t="s">
        <v>846</v>
      </c>
      <c r="B451" t="s">
        <v>343</v>
      </c>
      <c r="C451" t="s">
        <v>226</v>
      </c>
      <c r="D451" t="s">
        <v>45</v>
      </c>
      <c r="E451" t="s">
        <v>40</v>
      </c>
      <c r="F451">
        <v>5</v>
      </c>
      <c r="G451">
        <v>60000</v>
      </c>
      <c r="H451" t="s">
        <v>36</v>
      </c>
      <c r="I451" t="str">
        <f>_xlfn.XLOOKUP(E451,'Products Master'!A:A,'Products Master'!B:B)</f>
        <v>Electronics</v>
      </c>
      <c r="J451">
        <f>_xlfn.XLOOKUP(E451,'Products Master'!A:A,'Products Master'!C:C)</f>
        <v>50000</v>
      </c>
      <c r="K451" t="str">
        <f>_xlfn.XLOOKUP(E451,'Products Master'!A:A,'Products Master'!D:D)</f>
        <v>LG</v>
      </c>
      <c r="L451">
        <f t="shared" ref="L451:L514" si="28">F451*G451</f>
        <v>300000</v>
      </c>
      <c r="M451">
        <f t="shared" ref="M451:M514" si="29">F451*J451</f>
        <v>250000</v>
      </c>
      <c r="N451">
        <f t="shared" ref="N451:N514" si="30">L451-M451</f>
        <v>50000</v>
      </c>
      <c r="O451" s="2">
        <f t="shared" ref="O451:O514" si="31">N451/L451</f>
        <v>0.16666666666666666</v>
      </c>
    </row>
    <row r="452" spans="1:15">
      <c r="A452" t="s">
        <v>847</v>
      </c>
      <c r="B452" t="s">
        <v>848</v>
      </c>
      <c r="C452" t="s">
        <v>312</v>
      </c>
      <c r="D452" t="s">
        <v>111</v>
      </c>
      <c r="E452" t="s">
        <v>54</v>
      </c>
      <c r="F452">
        <v>5</v>
      </c>
      <c r="G452">
        <v>7000</v>
      </c>
      <c r="H452" t="s">
        <v>19</v>
      </c>
      <c r="I452" t="str">
        <f>_xlfn.XLOOKUP(E452,'Products Master'!A:A,'Products Master'!B:B)</f>
        <v>Accessories</v>
      </c>
      <c r="J452">
        <f>_xlfn.XLOOKUP(E452,'Products Master'!A:A,'Products Master'!C:C)</f>
        <v>5000</v>
      </c>
      <c r="K452" t="str">
        <f>_xlfn.XLOOKUP(E452,'Products Master'!A:A,'Products Master'!D:D)</f>
        <v>Sony</v>
      </c>
      <c r="L452">
        <f t="shared" si="28"/>
        <v>35000</v>
      </c>
      <c r="M452">
        <f t="shared" si="29"/>
        <v>25000</v>
      </c>
      <c r="N452">
        <f t="shared" si="30"/>
        <v>10000</v>
      </c>
      <c r="O452" s="2">
        <f t="shared" si="31"/>
        <v>0.2857142857142857</v>
      </c>
    </row>
    <row r="453" spans="1:15">
      <c r="A453" t="s">
        <v>849</v>
      </c>
      <c r="B453" t="s">
        <v>565</v>
      </c>
      <c r="C453" t="s">
        <v>189</v>
      </c>
      <c r="D453" t="s">
        <v>23</v>
      </c>
      <c r="E453" t="s">
        <v>12</v>
      </c>
      <c r="F453">
        <v>3</v>
      </c>
      <c r="G453">
        <v>150000</v>
      </c>
      <c r="H453" t="s">
        <v>41</v>
      </c>
      <c r="I453" t="str">
        <f>_xlfn.XLOOKUP(E453,'Products Master'!A:A,'Products Master'!B:B)</f>
        <v>Electronics</v>
      </c>
      <c r="J453">
        <f>_xlfn.XLOOKUP(E453,'Products Master'!A:A,'Products Master'!C:C)</f>
        <v>120000</v>
      </c>
      <c r="K453" t="str">
        <f>_xlfn.XLOOKUP(E453,'Products Master'!A:A,'Products Master'!D:D)</f>
        <v>Dell</v>
      </c>
      <c r="L453">
        <f t="shared" si="28"/>
        <v>450000</v>
      </c>
      <c r="M453">
        <f t="shared" si="29"/>
        <v>360000</v>
      </c>
      <c r="N453">
        <f t="shared" si="30"/>
        <v>90000</v>
      </c>
      <c r="O453" s="2">
        <f t="shared" si="31"/>
        <v>0.2</v>
      </c>
    </row>
    <row r="454" spans="1:15">
      <c r="A454" t="s">
        <v>850</v>
      </c>
      <c r="B454" t="s">
        <v>437</v>
      </c>
      <c r="C454" t="s">
        <v>88</v>
      </c>
      <c r="D454" t="s">
        <v>17</v>
      </c>
      <c r="E454" t="s">
        <v>40</v>
      </c>
      <c r="F454">
        <v>1</v>
      </c>
      <c r="G454">
        <v>60000</v>
      </c>
      <c r="H454" t="s">
        <v>95</v>
      </c>
      <c r="I454" t="str">
        <f>_xlfn.XLOOKUP(E454,'Products Master'!A:A,'Products Master'!B:B)</f>
        <v>Electronics</v>
      </c>
      <c r="J454">
        <f>_xlfn.XLOOKUP(E454,'Products Master'!A:A,'Products Master'!C:C)</f>
        <v>50000</v>
      </c>
      <c r="K454" t="str">
        <f>_xlfn.XLOOKUP(E454,'Products Master'!A:A,'Products Master'!D:D)</f>
        <v>LG</v>
      </c>
      <c r="L454">
        <f t="shared" si="28"/>
        <v>60000</v>
      </c>
      <c r="M454">
        <f t="shared" si="29"/>
        <v>50000</v>
      </c>
      <c r="N454">
        <f t="shared" si="30"/>
        <v>10000</v>
      </c>
      <c r="O454" s="2">
        <f t="shared" si="31"/>
        <v>0.16666666666666666</v>
      </c>
    </row>
    <row r="455" spans="1:15">
      <c r="A455" t="s">
        <v>851</v>
      </c>
      <c r="B455" t="s">
        <v>677</v>
      </c>
      <c r="C455" t="s">
        <v>476</v>
      </c>
      <c r="D455" t="s">
        <v>23</v>
      </c>
      <c r="E455" t="s">
        <v>12</v>
      </c>
      <c r="F455">
        <v>1</v>
      </c>
      <c r="G455">
        <v>150000</v>
      </c>
      <c r="H455" t="s">
        <v>66</v>
      </c>
      <c r="I455" t="str">
        <f>_xlfn.XLOOKUP(E455,'Products Master'!A:A,'Products Master'!B:B)</f>
        <v>Electronics</v>
      </c>
      <c r="J455">
        <f>_xlfn.XLOOKUP(E455,'Products Master'!A:A,'Products Master'!C:C)</f>
        <v>120000</v>
      </c>
      <c r="K455" t="str">
        <f>_xlfn.XLOOKUP(E455,'Products Master'!A:A,'Products Master'!D:D)</f>
        <v>Dell</v>
      </c>
      <c r="L455">
        <f t="shared" si="28"/>
        <v>150000</v>
      </c>
      <c r="M455">
        <f t="shared" si="29"/>
        <v>120000</v>
      </c>
      <c r="N455">
        <f t="shared" si="30"/>
        <v>30000</v>
      </c>
      <c r="O455" s="2">
        <f t="shared" si="31"/>
        <v>0.2</v>
      </c>
    </row>
    <row r="456" spans="1:15">
      <c r="A456" t="s">
        <v>852</v>
      </c>
      <c r="B456" t="s">
        <v>853</v>
      </c>
      <c r="C456" t="s">
        <v>327</v>
      </c>
      <c r="D456" t="s">
        <v>23</v>
      </c>
      <c r="E456" t="s">
        <v>99</v>
      </c>
      <c r="F456">
        <v>5</v>
      </c>
      <c r="G456">
        <v>5000</v>
      </c>
      <c r="H456" t="s">
        <v>13</v>
      </c>
      <c r="I456" t="str">
        <f>_xlfn.XLOOKUP(E456,'Products Master'!A:A,'Products Master'!B:B)</f>
        <v>Accessories</v>
      </c>
      <c r="J456">
        <f>_xlfn.XLOOKUP(E456,'Products Master'!A:A,'Products Master'!C:C)</f>
        <v>3500</v>
      </c>
      <c r="K456" t="str">
        <f>_xlfn.XLOOKUP(E456,'Products Master'!A:A,'Products Master'!D:D)</f>
        <v>Logitech</v>
      </c>
      <c r="L456">
        <f t="shared" si="28"/>
        <v>25000</v>
      </c>
      <c r="M456">
        <f t="shared" si="29"/>
        <v>17500</v>
      </c>
      <c r="N456">
        <f t="shared" si="30"/>
        <v>7500</v>
      </c>
      <c r="O456" s="2">
        <f t="shared" si="31"/>
        <v>0.3</v>
      </c>
    </row>
    <row r="457" spans="1:15">
      <c r="A457" t="s">
        <v>854</v>
      </c>
      <c r="B457" t="s">
        <v>386</v>
      </c>
      <c r="C457" t="s">
        <v>294</v>
      </c>
      <c r="D457" t="s">
        <v>11</v>
      </c>
      <c r="E457" t="s">
        <v>12</v>
      </c>
      <c r="F457">
        <v>2</v>
      </c>
      <c r="G457">
        <v>150000</v>
      </c>
      <c r="H457" t="s">
        <v>50</v>
      </c>
      <c r="I457" t="str">
        <f>_xlfn.XLOOKUP(E457,'Products Master'!A:A,'Products Master'!B:B)</f>
        <v>Electronics</v>
      </c>
      <c r="J457">
        <f>_xlfn.XLOOKUP(E457,'Products Master'!A:A,'Products Master'!C:C)</f>
        <v>120000</v>
      </c>
      <c r="K457" t="str">
        <f>_xlfn.XLOOKUP(E457,'Products Master'!A:A,'Products Master'!D:D)</f>
        <v>Dell</v>
      </c>
      <c r="L457">
        <f t="shared" si="28"/>
        <v>300000</v>
      </c>
      <c r="M457">
        <f t="shared" si="29"/>
        <v>240000</v>
      </c>
      <c r="N457">
        <f t="shared" si="30"/>
        <v>60000</v>
      </c>
      <c r="O457" s="2">
        <f t="shared" si="31"/>
        <v>0.2</v>
      </c>
    </row>
    <row r="458" spans="1:15">
      <c r="A458" t="s">
        <v>855</v>
      </c>
      <c r="B458" t="s">
        <v>223</v>
      </c>
      <c r="C458" t="s">
        <v>697</v>
      </c>
      <c r="D458" t="s">
        <v>29</v>
      </c>
      <c r="E458" t="s">
        <v>18</v>
      </c>
      <c r="F458">
        <v>5</v>
      </c>
      <c r="G458">
        <v>45000</v>
      </c>
      <c r="H458" t="s">
        <v>13</v>
      </c>
      <c r="I458" t="str">
        <f>_xlfn.XLOOKUP(E458,'Products Master'!A:A,'Products Master'!B:B)</f>
        <v>Electronics</v>
      </c>
      <c r="J458">
        <f>_xlfn.XLOOKUP(E458,'Products Master'!A:A,'Products Master'!C:C)</f>
        <v>35000</v>
      </c>
      <c r="K458" t="str">
        <f>_xlfn.XLOOKUP(E458,'Products Master'!A:A,'Products Master'!D:D)</f>
        <v>HP</v>
      </c>
      <c r="L458">
        <f t="shared" si="28"/>
        <v>225000</v>
      </c>
      <c r="M458">
        <f t="shared" si="29"/>
        <v>175000</v>
      </c>
      <c r="N458">
        <f t="shared" si="30"/>
        <v>50000</v>
      </c>
      <c r="O458" s="2">
        <f t="shared" si="31"/>
        <v>0.22222222222222221</v>
      </c>
    </row>
    <row r="459" spans="1:15">
      <c r="A459" t="s">
        <v>856</v>
      </c>
      <c r="B459" t="s">
        <v>736</v>
      </c>
      <c r="C459" t="s">
        <v>318</v>
      </c>
      <c r="D459" t="s">
        <v>115</v>
      </c>
      <c r="E459" t="s">
        <v>99</v>
      </c>
      <c r="F459">
        <v>2</v>
      </c>
      <c r="G459">
        <v>5000</v>
      </c>
      <c r="H459" t="s">
        <v>36</v>
      </c>
      <c r="I459" t="str">
        <f>_xlfn.XLOOKUP(E459,'Products Master'!A:A,'Products Master'!B:B)</f>
        <v>Accessories</v>
      </c>
      <c r="J459">
        <f>_xlfn.XLOOKUP(E459,'Products Master'!A:A,'Products Master'!C:C)</f>
        <v>3500</v>
      </c>
      <c r="K459" t="str">
        <f>_xlfn.XLOOKUP(E459,'Products Master'!A:A,'Products Master'!D:D)</f>
        <v>Logitech</v>
      </c>
      <c r="L459">
        <f t="shared" si="28"/>
        <v>10000</v>
      </c>
      <c r="M459">
        <f t="shared" si="29"/>
        <v>7000</v>
      </c>
      <c r="N459">
        <f t="shared" si="30"/>
        <v>3000</v>
      </c>
      <c r="O459" s="2">
        <f t="shared" si="31"/>
        <v>0.3</v>
      </c>
    </row>
    <row r="460" spans="1:15">
      <c r="A460" t="s">
        <v>857</v>
      </c>
      <c r="B460" t="s">
        <v>196</v>
      </c>
      <c r="C460" t="s">
        <v>481</v>
      </c>
      <c r="D460" t="s">
        <v>115</v>
      </c>
      <c r="E460" t="s">
        <v>124</v>
      </c>
      <c r="F460">
        <v>1</v>
      </c>
      <c r="G460">
        <v>18000</v>
      </c>
      <c r="H460" t="s">
        <v>19</v>
      </c>
      <c r="I460" t="str">
        <f>_xlfn.XLOOKUP(E460,'Products Master'!A:A,'Products Master'!B:B)</f>
        <v>Storage</v>
      </c>
      <c r="J460">
        <f>_xlfn.XLOOKUP(E460,'Products Master'!A:A,'Products Master'!C:C)</f>
        <v>12000</v>
      </c>
      <c r="K460" t="str">
        <f>_xlfn.XLOOKUP(E460,'Products Master'!A:A,'Products Master'!D:D)</f>
        <v>Kingston</v>
      </c>
      <c r="L460">
        <f t="shared" si="28"/>
        <v>18000</v>
      </c>
      <c r="M460">
        <f t="shared" si="29"/>
        <v>12000</v>
      </c>
      <c r="N460">
        <f t="shared" si="30"/>
        <v>6000</v>
      </c>
      <c r="O460" s="2">
        <f t="shared" si="31"/>
        <v>0.33333333333333331</v>
      </c>
    </row>
    <row r="461" spans="1:15">
      <c r="A461" t="s">
        <v>858</v>
      </c>
      <c r="B461" t="s">
        <v>571</v>
      </c>
      <c r="C461" t="s">
        <v>114</v>
      </c>
      <c r="D461" t="s">
        <v>45</v>
      </c>
      <c r="E461" t="s">
        <v>54</v>
      </c>
      <c r="F461">
        <v>4</v>
      </c>
      <c r="G461">
        <v>7000</v>
      </c>
      <c r="H461" t="s">
        <v>41</v>
      </c>
      <c r="I461" t="str">
        <f>_xlfn.XLOOKUP(E461,'Products Master'!A:A,'Products Master'!B:B)</f>
        <v>Accessories</v>
      </c>
      <c r="J461">
        <f>_xlfn.XLOOKUP(E461,'Products Master'!A:A,'Products Master'!C:C)</f>
        <v>5000</v>
      </c>
      <c r="K461" t="str">
        <f>_xlfn.XLOOKUP(E461,'Products Master'!A:A,'Products Master'!D:D)</f>
        <v>Sony</v>
      </c>
      <c r="L461">
        <f t="shared" si="28"/>
        <v>28000</v>
      </c>
      <c r="M461">
        <f t="shared" si="29"/>
        <v>20000</v>
      </c>
      <c r="N461">
        <f t="shared" si="30"/>
        <v>8000</v>
      </c>
      <c r="O461" s="2">
        <f t="shared" si="31"/>
        <v>0.2857142857142857</v>
      </c>
    </row>
    <row r="462" spans="1:15">
      <c r="A462" t="s">
        <v>859</v>
      </c>
      <c r="B462" t="s">
        <v>860</v>
      </c>
      <c r="C462" t="s">
        <v>539</v>
      </c>
      <c r="D462" t="s">
        <v>11</v>
      </c>
      <c r="E462" t="s">
        <v>54</v>
      </c>
      <c r="F462">
        <v>5</v>
      </c>
      <c r="G462">
        <v>7000</v>
      </c>
      <c r="H462" t="s">
        <v>66</v>
      </c>
      <c r="I462" t="str">
        <f>_xlfn.XLOOKUP(E462,'Products Master'!A:A,'Products Master'!B:B)</f>
        <v>Accessories</v>
      </c>
      <c r="J462">
        <f>_xlfn.XLOOKUP(E462,'Products Master'!A:A,'Products Master'!C:C)</f>
        <v>5000</v>
      </c>
      <c r="K462" t="str">
        <f>_xlfn.XLOOKUP(E462,'Products Master'!A:A,'Products Master'!D:D)</f>
        <v>Sony</v>
      </c>
      <c r="L462">
        <f t="shared" si="28"/>
        <v>35000</v>
      </c>
      <c r="M462">
        <f t="shared" si="29"/>
        <v>25000</v>
      </c>
      <c r="N462">
        <f t="shared" si="30"/>
        <v>10000</v>
      </c>
      <c r="O462" s="2">
        <f t="shared" si="31"/>
        <v>0.2857142857142857</v>
      </c>
    </row>
    <row r="463" spans="1:15">
      <c r="A463" t="s">
        <v>861</v>
      </c>
      <c r="B463" t="s">
        <v>549</v>
      </c>
      <c r="C463" t="s">
        <v>318</v>
      </c>
      <c r="D463" t="s">
        <v>111</v>
      </c>
      <c r="E463" t="s">
        <v>18</v>
      </c>
      <c r="F463">
        <v>3</v>
      </c>
      <c r="G463">
        <v>45000</v>
      </c>
      <c r="H463" t="s">
        <v>50</v>
      </c>
      <c r="I463" t="str">
        <f>_xlfn.XLOOKUP(E463,'Products Master'!A:A,'Products Master'!B:B)</f>
        <v>Electronics</v>
      </c>
      <c r="J463">
        <f>_xlfn.XLOOKUP(E463,'Products Master'!A:A,'Products Master'!C:C)</f>
        <v>35000</v>
      </c>
      <c r="K463" t="str">
        <f>_xlfn.XLOOKUP(E463,'Products Master'!A:A,'Products Master'!D:D)</f>
        <v>HP</v>
      </c>
      <c r="L463">
        <f t="shared" si="28"/>
        <v>135000</v>
      </c>
      <c r="M463">
        <f t="shared" si="29"/>
        <v>105000</v>
      </c>
      <c r="N463">
        <f t="shared" si="30"/>
        <v>30000</v>
      </c>
      <c r="O463" s="2">
        <f t="shared" si="31"/>
        <v>0.22222222222222221</v>
      </c>
    </row>
    <row r="464" spans="1:15">
      <c r="A464" t="s">
        <v>862</v>
      </c>
      <c r="B464" t="s">
        <v>783</v>
      </c>
      <c r="C464" t="s">
        <v>107</v>
      </c>
      <c r="D464" t="s">
        <v>111</v>
      </c>
      <c r="E464" t="s">
        <v>124</v>
      </c>
      <c r="F464">
        <v>2</v>
      </c>
      <c r="G464">
        <v>18000</v>
      </c>
      <c r="H464" t="s">
        <v>41</v>
      </c>
      <c r="I464" t="str">
        <f>_xlfn.XLOOKUP(E464,'Products Master'!A:A,'Products Master'!B:B)</f>
        <v>Storage</v>
      </c>
      <c r="J464">
        <f>_xlfn.XLOOKUP(E464,'Products Master'!A:A,'Products Master'!C:C)</f>
        <v>12000</v>
      </c>
      <c r="K464" t="str">
        <f>_xlfn.XLOOKUP(E464,'Products Master'!A:A,'Products Master'!D:D)</f>
        <v>Kingston</v>
      </c>
      <c r="L464">
        <f t="shared" si="28"/>
        <v>36000</v>
      </c>
      <c r="M464">
        <f t="shared" si="29"/>
        <v>24000</v>
      </c>
      <c r="N464">
        <f t="shared" si="30"/>
        <v>12000</v>
      </c>
      <c r="O464" s="2">
        <f t="shared" si="31"/>
        <v>0.33333333333333331</v>
      </c>
    </row>
    <row r="465" spans="1:15">
      <c r="A465" t="s">
        <v>863</v>
      </c>
      <c r="B465" t="s">
        <v>262</v>
      </c>
      <c r="C465" t="s">
        <v>502</v>
      </c>
      <c r="D465" t="s">
        <v>23</v>
      </c>
      <c r="E465" t="s">
        <v>12</v>
      </c>
      <c r="F465">
        <v>3</v>
      </c>
      <c r="G465">
        <v>150000</v>
      </c>
      <c r="H465" t="s">
        <v>66</v>
      </c>
      <c r="I465" t="str">
        <f>_xlfn.XLOOKUP(E465,'Products Master'!A:A,'Products Master'!B:B)</f>
        <v>Electronics</v>
      </c>
      <c r="J465">
        <f>_xlfn.XLOOKUP(E465,'Products Master'!A:A,'Products Master'!C:C)</f>
        <v>120000</v>
      </c>
      <c r="K465" t="str">
        <f>_xlfn.XLOOKUP(E465,'Products Master'!A:A,'Products Master'!D:D)</f>
        <v>Dell</v>
      </c>
      <c r="L465">
        <f t="shared" si="28"/>
        <v>450000</v>
      </c>
      <c r="M465">
        <f t="shared" si="29"/>
        <v>360000</v>
      </c>
      <c r="N465">
        <f t="shared" si="30"/>
        <v>90000</v>
      </c>
      <c r="O465" s="2">
        <f t="shared" si="31"/>
        <v>0.2</v>
      </c>
    </row>
    <row r="466" spans="1:15">
      <c r="A466" t="s">
        <v>864</v>
      </c>
      <c r="B466" t="s">
        <v>764</v>
      </c>
      <c r="C466" t="s">
        <v>729</v>
      </c>
      <c r="D466" t="s">
        <v>29</v>
      </c>
      <c r="E466" t="s">
        <v>49</v>
      </c>
      <c r="F466">
        <v>1</v>
      </c>
      <c r="G466">
        <v>9500</v>
      </c>
      <c r="H466" t="s">
        <v>30</v>
      </c>
      <c r="I466" t="str">
        <f>_xlfn.XLOOKUP(E466,'Products Master'!A:A,'Products Master'!B:B)</f>
        <v>Accessories</v>
      </c>
      <c r="J466">
        <f>_xlfn.XLOOKUP(E466,'Products Master'!A:A,'Products Master'!C:C)</f>
        <v>7000</v>
      </c>
      <c r="K466" t="str">
        <f>_xlfn.XLOOKUP(E466,'Products Master'!A:A,'Products Master'!D:D)</f>
        <v>Logitech</v>
      </c>
      <c r="L466">
        <f t="shared" si="28"/>
        <v>9500</v>
      </c>
      <c r="M466">
        <f t="shared" si="29"/>
        <v>7000</v>
      </c>
      <c r="N466">
        <f t="shared" si="30"/>
        <v>2500</v>
      </c>
      <c r="O466" s="2">
        <f t="shared" si="31"/>
        <v>0.26315789473684209</v>
      </c>
    </row>
    <row r="467" spans="1:15">
      <c r="A467" t="s">
        <v>865</v>
      </c>
      <c r="B467" t="s">
        <v>866</v>
      </c>
      <c r="C467" t="s">
        <v>481</v>
      </c>
      <c r="D467" t="s">
        <v>11</v>
      </c>
      <c r="E467" t="s">
        <v>54</v>
      </c>
      <c r="F467">
        <v>3</v>
      </c>
      <c r="G467">
        <v>7000</v>
      </c>
      <c r="H467" t="s">
        <v>116</v>
      </c>
      <c r="I467" t="str">
        <f>_xlfn.XLOOKUP(E467,'Products Master'!A:A,'Products Master'!B:B)</f>
        <v>Accessories</v>
      </c>
      <c r="J467">
        <f>_xlfn.XLOOKUP(E467,'Products Master'!A:A,'Products Master'!C:C)</f>
        <v>5000</v>
      </c>
      <c r="K467" t="str">
        <f>_xlfn.XLOOKUP(E467,'Products Master'!A:A,'Products Master'!D:D)</f>
        <v>Sony</v>
      </c>
      <c r="L467">
        <f t="shared" si="28"/>
        <v>21000</v>
      </c>
      <c r="M467">
        <f t="shared" si="29"/>
        <v>15000</v>
      </c>
      <c r="N467">
        <f t="shared" si="30"/>
        <v>6000</v>
      </c>
      <c r="O467" s="2">
        <f t="shared" si="31"/>
        <v>0.2857142857142857</v>
      </c>
    </row>
    <row r="468" spans="1:15">
      <c r="A468" t="s">
        <v>867</v>
      </c>
      <c r="B468" t="s">
        <v>512</v>
      </c>
      <c r="C468" t="s">
        <v>209</v>
      </c>
      <c r="D468" t="s">
        <v>11</v>
      </c>
      <c r="E468" t="s">
        <v>24</v>
      </c>
      <c r="F468">
        <v>3</v>
      </c>
      <c r="G468">
        <v>2500</v>
      </c>
      <c r="H468" t="s">
        <v>95</v>
      </c>
      <c r="I468" t="str">
        <f>_xlfn.XLOOKUP(E468,'Products Master'!A:A,'Products Master'!B:B)</f>
        <v>Accessories</v>
      </c>
      <c r="J468">
        <f>_xlfn.XLOOKUP(E468,'Products Master'!A:A,'Products Master'!C:C)</f>
        <v>1500</v>
      </c>
      <c r="K468" t="str">
        <f>_xlfn.XLOOKUP(E468,'Products Master'!A:A,'Products Master'!D:D)</f>
        <v>Logitech</v>
      </c>
      <c r="L468">
        <f t="shared" si="28"/>
        <v>7500</v>
      </c>
      <c r="M468">
        <f t="shared" si="29"/>
        <v>4500</v>
      </c>
      <c r="N468">
        <f t="shared" si="30"/>
        <v>3000</v>
      </c>
      <c r="O468" s="2">
        <f t="shared" si="31"/>
        <v>0.4</v>
      </c>
    </row>
    <row r="469" spans="1:15">
      <c r="A469" t="s">
        <v>868</v>
      </c>
      <c r="B469" t="s">
        <v>739</v>
      </c>
      <c r="C469" t="s">
        <v>98</v>
      </c>
      <c r="D469" t="s">
        <v>45</v>
      </c>
      <c r="E469" t="s">
        <v>18</v>
      </c>
      <c r="F469">
        <v>5</v>
      </c>
      <c r="G469">
        <v>45000</v>
      </c>
      <c r="H469" t="s">
        <v>36</v>
      </c>
      <c r="I469" t="str">
        <f>_xlfn.XLOOKUP(E469,'Products Master'!A:A,'Products Master'!B:B)</f>
        <v>Electronics</v>
      </c>
      <c r="J469">
        <f>_xlfn.XLOOKUP(E469,'Products Master'!A:A,'Products Master'!C:C)</f>
        <v>35000</v>
      </c>
      <c r="K469" t="str">
        <f>_xlfn.XLOOKUP(E469,'Products Master'!A:A,'Products Master'!D:D)</f>
        <v>HP</v>
      </c>
      <c r="L469">
        <f t="shared" si="28"/>
        <v>225000</v>
      </c>
      <c r="M469">
        <f t="shared" si="29"/>
        <v>175000</v>
      </c>
      <c r="N469">
        <f t="shared" si="30"/>
        <v>50000</v>
      </c>
      <c r="O469" s="2">
        <f t="shared" si="31"/>
        <v>0.22222222222222221</v>
      </c>
    </row>
    <row r="470" spans="1:15">
      <c r="A470" t="s">
        <v>869</v>
      </c>
      <c r="B470" t="s">
        <v>602</v>
      </c>
      <c r="C470" t="s">
        <v>312</v>
      </c>
      <c r="D470" t="s">
        <v>29</v>
      </c>
      <c r="E470" t="s">
        <v>179</v>
      </c>
      <c r="F470">
        <v>5</v>
      </c>
      <c r="G470">
        <v>80000</v>
      </c>
      <c r="H470" t="s">
        <v>95</v>
      </c>
      <c r="I470" t="str">
        <f>_xlfn.XLOOKUP(E470,'Products Master'!A:A,'Products Master'!B:B)</f>
        <v>Electronics</v>
      </c>
      <c r="J470">
        <f>_xlfn.XLOOKUP(E470,'Products Master'!A:A,'Products Master'!C:C)</f>
        <v>65000</v>
      </c>
      <c r="K470" t="str">
        <f>_xlfn.XLOOKUP(E470,'Products Master'!A:A,'Products Master'!D:D)</f>
        <v>Samsung</v>
      </c>
      <c r="L470">
        <f t="shared" si="28"/>
        <v>400000</v>
      </c>
      <c r="M470">
        <f t="shared" si="29"/>
        <v>325000</v>
      </c>
      <c r="N470">
        <f t="shared" si="30"/>
        <v>75000</v>
      </c>
      <c r="O470" s="2">
        <f t="shared" si="31"/>
        <v>0.1875</v>
      </c>
    </row>
    <row r="471" spans="1:15">
      <c r="A471" t="s">
        <v>870</v>
      </c>
      <c r="B471" t="s">
        <v>809</v>
      </c>
      <c r="C471" t="s">
        <v>318</v>
      </c>
      <c r="D471" t="s">
        <v>29</v>
      </c>
      <c r="E471" t="s">
        <v>54</v>
      </c>
      <c r="F471">
        <v>2</v>
      </c>
      <c r="G471">
        <v>7000</v>
      </c>
      <c r="H471" t="s">
        <v>13</v>
      </c>
      <c r="I471" t="str">
        <f>_xlfn.XLOOKUP(E471,'Products Master'!A:A,'Products Master'!B:B)</f>
        <v>Accessories</v>
      </c>
      <c r="J471">
        <f>_xlfn.XLOOKUP(E471,'Products Master'!A:A,'Products Master'!C:C)</f>
        <v>5000</v>
      </c>
      <c r="K471" t="str">
        <f>_xlfn.XLOOKUP(E471,'Products Master'!A:A,'Products Master'!D:D)</f>
        <v>Sony</v>
      </c>
      <c r="L471">
        <f t="shared" si="28"/>
        <v>14000</v>
      </c>
      <c r="M471">
        <f t="shared" si="29"/>
        <v>10000</v>
      </c>
      <c r="N471">
        <f t="shared" si="30"/>
        <v>4000</v>
      </c>
      <c r="O471" s="2">
        <f t="shared" si="31"/>
        <v>0.2857142857142857</v>
      </c>
    </row>
    <row r="472" spans="1:15">
      <c r="A472" t="s">
        <v>871</v>
      </c>
      <c r="B472" t="s">
        <v>90</v>
      </c>
      <c r="C472" t="s">
        <v>134</v>
      </c>
      <c r="D472" t="s">
        <v>111</v>
      </c>
      <c r="E472" t="s">
        <v>12</v>
      </c>
      <c r="F472">
        <v>2</v>
      </c>
      <c r="G472">
        <v>150000</v>
      </c>
      <c r="H472" t="s">
        <v>30</v>
      </c>
      <c r="I472" t="str">
        <f>_xlfn.XLOOKUP(E472,'Products Master'!A:A,'Products Master'!B:B)</f>
        <v>Electronics</v>
      </c>
      <c r="J472">
        <f>_xlfn.XLOOKUP(E472,'Products Master'!A:A,'Products Master'!C:C)</f>
        <v>120000</v>
      </c>
      <c r="K472" t="str">
        <f>_xlfn.XLOOKUP(E472,'Products Master'!A:A,'Products Master'!D:D)</f>
        <v>Dell</v>
      </c>
      <c r="L472">
        <f t="shared" si="28"/>
        <v>300000</v>
      </c>
      <c r="M472">
        <f t="shared" si="29"/>
        <v>240000</v>
      </c>
      <c r="N472">
        <f t="shared" si="30"/>
        <v>60000</v>
      </c>
      <c r="O472" s="2">
        <f t="shared" si="31"/>
        <v>0.2</v>
      </c>
    </row>
    <row r="473" spans="1:15">
      <c r="A473" t="s">
        <v>872</v>
      </c>
      <c r="B473" t="s">
        <v>873</v>
      </c>
      <c r="C473" t="s">
        <v>137</v>
      </c>
      <c r="D473" t="s">
        <v>29</v>
      </c>
      <c r="E473" t="s">
        <v>54</v>
      </c>
      <c r="F473">
        <v>3</v>
      </c>
      <c r="G473">
        <v>7000</v>
      </c>
      <c r="H473" t="s">
        <v>30</v>
      </c>
      <c r="I473" t="str">
        <f>_xlfn.XLOOKUP(E473,'Products Master'!A:A,'Products Master'!B:B)</f>
        <v>Accessories</v>
      </c>
      <c r="J473">
        <f>_xlfn.XLOOKUP(E473,'Products Master'!A:A,'Products Master'!C:C)</f>
        <v>5000</v>
      </c>
      <c r="K473" t="str">
        <f>_xlfn.XLOOKUP(E473,'Products Master'!A:A,'Products Master'!D:D)</f>
        <v>Sony</v>
      </c>
      <c r="L473">
        <f t="shared" si="28"/>
        <v>21000</v>
      </c>
      <c r="M473">
        <f t="shared" si="29"/>
        <v>15000</v>
      </c>
      <c r="N473">
        <f t="shared" si="30"/>
        <v>6000</v>
      </c>
      <c r="O473" s="2">
        <f t="shared" si="31"/>
        <v>0.2857142857142857</v>
      </c>
    </row>
    <row r="474" spans="1:15">
      <c r="A474" t="s">
        <v>874</v>
      </c>
      <c r="B474" t="s">
        <v>760</v>
      </c>
      <c r="C474" t="s">
        <v>697</v>
      </c>
      <c r="D474" t="s">
        <v>115</v>
      </c>
      <c r="E474" t="s">
        <v>18</v>
      </c>
      <c r="F474">
        <v>5</v>
      </c>
      <c r="G474">
        <v>45000</v>
      </c>
      <c r="H474" t="s">
        <v>19</v>
      </c>
      <c r="I474" t="str">
        <f>_xlfn.XLOOKUP(E474,'Products Master'!A:A,'Products Master'!B:B)</f>
        <v>Electronics</v>
      </c>
      <c r="J474">
        <f>_xlfn.XLOOKUP(E474,'Products Master'!A:A,'Products Master'!C:C)</f>
        <v>35000</v>
      </c>
      <c r="K474" t="str">
        <f>_xlfn.XLOOKUP(E474,'Products Master'!A:A,'Products Master'!D:D)</f>
        <v>HP</v>
      </c>
      <c r="L474">
        <f t="shared" si="28"/>
        <v>225000</v>
      </c>
      <c r="M474">
        <f t="shared" si="29"/>
        <v>175000</v>
      </c>
      <c r="N474">
        <f t="shared" si="30"/>
        <v>50000</v>
      </c>
      <c r="O474" s="2">
        <f t="shared" si="31"/>
        <v>0.22222222222222221</v>
      </c>
    </row>
    <row r="475" spans="1:15">
      <c r="A475" t="s">
        <v>875</v>
      </c>
      <c r="B475" t="s">
        <v>585</v>
      </c>
      <c r="C475" t="s">
        <v>72</v>
      </c>
      <c r="D475" t="s">
        <v>111</v>
      </c>
      <c r="E475" t="s">
        <v>179</v>
      </c>
      <c r="F475">
        <v>4</v>
      </c>
      <c r="G475">
        <v>80000</v>
      </c>
      <c r="H475" t="s">
        <v>95</v>
      </c>
      <c r="I475" t="str">
        <f>_xlfn.XLOOKUP(E475,'Products Master'!A:A,'Products Master'!B:B)</f>
        <v>Electronics</v>
      </c>
      <c r="J475">
        <f>_xlfn.XLOOKUP(E475,'Products Master'!A:A,'Products Master'!C:C)</f>
        <v>65000</v>
      </c>
      <c r="K475" t="str">
        <f>_xlfn.XLOOKUP(E475,'Products Master'!A:A,'Products Master'!D:D)</f>
        <v>Samsung</v>
      </c>
      <c r="L475">
        <f t="shared" si="28"/>
        <v>320000</v>
      </c>
      <c r="M475">
        <f t="shared" si="29"/>
        <v>260000</v>
      </c>
      <c r="N475">
        <f t="shared" si="30"/>
        <v>60000</v>
      </c>
      <c r="O475" s="2">
        <f t="shared" si="31"/>
        <v>0.1875</v>
      </c>
    </row>
    <row r="476" spans="1:15">
      <c r="A476" t="s">
        <v>876</v>
      </c>
      <c r="B476" t="s">
        <v>444</v>
      </c>
      <c r="C476" t="s">
        <v>57</v>
      </c>
      <c r="D476" t="s">
        <v>34</v>
      </c>
      <c r="E476" t="s">
        <v>40</v>
      </c>
      <c r="F476">
        <v>4</v>
      </c>
      <c r="G476">
        <v>60000</v>
      </c>
      <c r="H476" t="s">
        <v>41</v>
      </c>
      <c r="I476" t="str">
        <f>_xlfn.XLOOKUP(E476,'Products Master'!A:A,'Products Master'!B:B)</f>
        <v>Electronics</v>
      </c>
      <c r="J476">
        <f>_xlfn.XLOOKUP(E476,'Products Master'!A:A,'Products Master'!C:C)</f>
        <v>50000</v>
      </c>
      <c r="K476" t="str">
        <f>_xlfn.XLOOKUP(E476,'Products Master'!A:A,'Products Master'!D:D)</f>
        <v>LG</v>
      </c>
      <c r="L476">
        <f t="shared" si="28"/>
        <v>240000</v>
      </c>
      <c r="M476">
        <f t="shared" si="29"/>
        <v>200000</v>
      </c>
      <c r="N476">
        <f t="shared" si="30"/>
        <v>40000</v>
      </c>
      <c r="O476" s="2">
        <f t="shared" si="31"/>
        <v>0.16666666666666666</v>
      </c>
    </row>
    <row r="477" spans="1:15">
      <c r="A477" t="s">
        <v>877</v>
      </c>
      <c r="B477" t="s">
        <v>193</v>
      </c>
      <c r="C477" t="s">
        <v>33</v>
      </c>
      <c r="D477" t="s">
        <v>111</v>
      </c>
      <c r="E477" t="s">
        <v>179</v>
      </c>
      <c r="F477">
        <v>3</v>
      </c>
      <c r="G477">
        <v>80000</v>
      </c>
      <c r="H477" t="s">
        <v>95</v>
      </c>
      <c r="I477" t="str">
        <f>_xlfn.XLOOKUP(E477,'Products Master'!A:A,'Products Master'!B:B)</f>
        <v>Electronics</v>
      </c>
      <c r="J477">
        <f>_xlfn.XLOOKUP(E477,'Products Master'!A:A,'Products Master'!C:C)</f>
        <v>65000</v>
      </c>
      <c r="K477" t="str">
        <f>_xlfn.XLOOKUP(E477,'Products Master'!A:A,'Products Master'!D:D)</f>
        <v>Samsung</v>
      </c>
      <c r="L477">
        <f t="shared" si="28"/>
        <v>240000</v>
      </c>
      <c r="M477">
        <f t="shared" si="29"/>
        <v>195000</v>
      </c>
      <c r="N477">
        <f t="shared" si="30"/>
        <v>45000</v>
      </c>
      <c r="O477" s="2">
        <f t="shared" si="31"/>
        <v>0.1875</v>
      </c>
    </row>
    <row r="478" spans="1:15">
      <c r="A478" t="s">
        <v>878</v>
      </c>
      <c r="B478" t="s">
        <v>879</v>
      </c>
      <c r="C478" t="s">
        <v>101</v>
      </c>
      <c r="D478" t="s">
        <v>29</v>
      </c>
      <c r="E478" t="s">
        <v>99</v>
      </c>
      <c r="F478">
        <v>4</v>
      </c>
      <c r="G478">
        <v>5000</v>
      </c>
      <c r="H478" t="s">
        <v>116</v>
      </c>
      <c r="I478" t="str">
        <f>_xlfn.XLOOKUP(E478,'Products Master'!A:A,'Products Master'!B:B)</f>
        <v>Accessories</v>
      </c>
      <c r="J478">
        <f>_xlfn.XLOOKUP(E478,'Products Master'!A:A,'Products Master'!C:C)</f>
        <v>3500</v>
      </c>
      <c r="K478" t="str">
        <f>_xlfn.XLOOKUP(E478,'Products Master'!A:A,'Products Master'!D:D)</f>
        <v>Logitech</v>
      </c>
      <c r="L478">
        <f t="shared" si="28"/>
        <v>20000</v>
      </c>
      <c r="M478">
        <f t="shared" si="29"/>
        <v>14000</v>
      </c>
      <c r="N478">
        <f t="shared" si="30"/>
        <v>6000</v>
      </c>
      <c r="O478" s="2">
        <f t="shared" si="31"/>
        <v>0.3</v>
      </c>
    </row>
    <row r="479" spans="1:15">
      <c r="A479" t="s">
        <v>880</v>
      </c>
      <c r="B479" t="s">
        <v>776</v>
      </c>
      <c r="C479" t="s">
        <v>341</v>
      </c>
      <c r="D479" t="s">
        <v>11</v>
      </c>
      <c r="E479" t="s">
        <v>40</v>
      </c>
      <c r="F479">
        <v>1</v>
      </c>
      <c r="G479">
        <v>60000</v>
      </c>
      <c r="H479" t="s">
        <v>30</v>
      </c>
      <c r="I479" t="str">
        <f>_xlfn.XLOOKUP(E479,'Products Master'!A:A,'Products Master'!B:B)</f>
        <v>Electronics</v>
      </c>
      <c r="J479">
        <f>_xlfn.XLOOKUP(E479,'Products Master'!A:A,'Products Master'!C:C)</f>
        <v>50000</v>
      </c>
      <c r="K479" t="str">
        <f>_xlfn.XLOOKUP(E479,'Products Master'!A:A,'Products Master'!D:D)</f>
        <v>LG</v>
      </c>
      <c r="L479">
        <f t="shared" si="28"/>
        <v>60000</v>
      </c>
      <c r="M479">
        <f t="shared" si="29"/>
        <v>50000</v>
      </c>
      <c r="N479">
        <f t="shared" si="30"/>
        <v>10000</v>
      </c>
      <c r="O479" s="2">
        <f t="shared" si="31"/>
        <v>0.16666666666666666</v>
      </c>
    </row>
    <row r="480" spans="1:15">
      <c r="A480" t="s">
        <v>881</v>
      </c>
      <c r="B480" t="s">
        <v>624</v>
      </c>
      <c r="C480" t="s">
        <v>614</v>
      </c>
      <c r="D480" t="s">
        <v>11</v>
      </c>
      <c r="E480" t="s">
        <v>99</v>
      </c>
      <c r="F480">
        <v>2</v>
      </c>
      <c r="G480">
        <v>5000</v>
      </c>
      <c r="H480" t="s">
        <v>50</v>
      </c>
      <c r="I480" t="str">
        <f>_xlfn.XLOOKUP(E480,'Products Master'!A:A,'Products Master'!B:B)</f>
        <v>Accessories</v>
      </c>
      <c r="J480">
        <f>_xlfn.XLOOKUP(E480,'Products Master'!A:A,'Products Master'!C:C)</f>
        <v>3500</v>
      </c>
      <c r="K480" t="str">
        <f>_xlfn.XLOOKUP(E480,'Products Master'!A:A,'Products Master'!D:D)</f>
        <v>Logitech</v>
      </c>
      <c r="L480">
        <f t="shared" si="28"/>
        <v>10000</v>
      </c>
      <c r="M480">
        <f t="shared" si="29"/>
        <v>7000</v>
      </c>
      <c r="N480">
        <f t="shared" si="30"/>
        <v>3000</v>
      </c>
      <c r="O480" s="2">
        <f t="shared" si="31"/>
        <v>0.3</v>
      </c>
    </row>
    <row r="481" spans="1:15">
      <c r="A481" t="s">
        <v>882</v>
      </c>
      <c r="B481" t="s">
        <v>504</v>
      </c>
      <c r="C481" t="s">
        <v>536</v>
      </c>
      <c r="D481" t="s">
        <v>29</v>
      </c>
      <c r="E481" t="s">
        <v>35</v>
      </c>
      <c r="F481">
        <v>5</v>
      </c>
      <c r="G481">
        <v>2000</v>
      </c>
      <c r="H481" t="s">
        <v>36</v>
      </c>
      <c r="I481" t="str">
        <f>_xlfn.XLOOKUP(E481,'Products Master'!A:A,'Products Master'!B:B)</f>
        <v>Storage</v>
      </c>
      <c r="J481">
        <f>_xlfn.XLOOKUP(E481,'Products Master'!A:A,'Products Master'!C:C)</f>
        <v>1200</v>
      </c>
      <c r="K481" t="str">
        <f>_xlfn.XLOOKUP(E481,'Products Master'!A:A,'Products Master'!D:D)</f>
        <v>SanDisk</v>
      </c>
      <c r="L481">
        <f t="shared" si="28"/>
        <v>10000</v>
      </c>
      <c r="M481">
        <f t="shared" si="29"/>
        <v>6000</v>
      </c>
      <c r="N481">
        <f t="shared" si="30"/>
        <v>4000</v>
      </c>
      <c r="O481" s="2">
        <f t="shared" si="31"/>
        <v>0.4</v>
      </c>
    </row>
    <row r="482" spans="1:15">
      <c r="A482" t="s">
        <v>883</v>
      </c>
      <c r="B482" t="s">
        <v>783</v>
      </c>
      <c r="C482" t="s">
        <v>134</v>
      </c>
      <c r="D482" t="s">
        <v>11</v>
      </c>
      <c r="E482" t="s">
        <v>179</v>
      </c>
      <c r="F482">
        <v>2</v>
      </c>
      <c r="G482">
        <v>80000</v>
      </c>
      <c r="H482" t="s">
        <v>25</v>
      </c>
      <c r="I482" t="str">
        <f>_xlfn.XLOOKUP(E482,'Products Master'!A:A,'Products Master'!B:B)</f>
        <v>Electronics</v>
      </c>
      <c r="J482">
        <f>_xlfn.XLOOKUP(E482,'Products Master'!A:A,'Products Master'!C:C)</f>
        <v>65000</v>
      </c>
      <c r="K482" t="str">
        <f>_xlfn.XLOOKUP(E482,'Products Master'!A:A,'Products Master'!D:D)</f>
        <v>Samsung</v>
      </c>
      <c r="L482">
        <f t="shared" si="28"/>
        <v>160000</v>
      </c>
      <c r="M482">
        <f t="shared" si="29"/>
        <v>130000</v>
      </c>
      <c r="N482">
        <f t="shared" si="30"/>
        <v>30000</v>
      </c>
      <c r="O482" s="2">
        <f t="shared" si="31"/>
        <v>0.1875</v>
      </c>
    </row>
    <row r="483" spans="1:15">
      <c r="A483" t="s">
        <v>884</v>
      </c>
      <c r="B483" t="s">
        <v>885</v>
      </c>
      <c r="C483" t="s">
        <v>375</v>
      </c>
      <c r="D483" t="s">
        <v>11</v>
      </c>
      <c r="E483" t="s">
        <v>54</v>
      </c>
      <c r="F483">
        <v>3</v>
      </c>
      <c r="G483">
        <v>7000</v>
      </c>
      <c r="H483" t="s">
        <v>66</v>
      </c>
      <c r="I483" t="str">
        <f>_xlfn.XLOOKUP(E483,'Products Master'!A:A,'Products Master'!B:B)</f>
        <v>Accessories</v>
      </c>
      <c r="J483">
        <f>_xlfn.XLOOKUP(E483,'Products Master'!A:A,'Products Master'!C:C)</f>
        <v>5000</v>
      </c>
      <c r="K483" t="str">
        <f>_xlfn.XLOOKUP(E483,'Products Master'!A:A,'Products Master'!D:D)</f>
        <v>Sony</v>
      </c>
      <c r="L483">
        <f t="shared" si="28"/>
        <v>21000</v>
      </c>
      <c r="M483">
        <f t="shared" si="29"/>
        <v>15000</v>
      </c>
      <c r="N483">
        <f t="shared" si="30"/>
        <v>6000</v>
      </c>
      <c r="O483" s="2">
        <f t="shared" si="31"/>
        <v>0.2857142857142857</v>
      </c>
    </row>
    <row r="484" spans="1:15">
      <c r="A484" t="s">
        <v>886</v>
      </c>
      <c r="B484" t="s">
        <v>188</v>
      </c>
      <c r="C484" t="s">
        <v>831</v>
      </c>
      <c r="D484" t="s">
        <v>34</v>
      </c>
      <c r="E484" t="s">
        <v>12</v>
      </c>
      <c r="F484">
        <v>5</v>
      </c>
      <c r="G484">
        <v>150000</v>
      </c>
      <c r="H484" t="s">
        <v>50</v>
      </c>
      <c r="I484" t="str">
        <f>_xlfn.XLOOKUP(E484,'Products Master'!A:A,'Products Master'!B:B)</f>
        <v>Electronics</v>
      </c>
      <c r="J484">
        <f>_xlfn.XLOOKUP(E484,'Products Master'!A:A,'Products Master'!C:C)</f>
        <v>120000</v>
      </c>
      <c r="K484" t="str">
        <f>_xlfn.XLOOKUP(E484,'Products Master'!A:A,'Products Master'!D:D)</f>
        <v>Dell</v>
      </c>
      <c r="L484">
        <f t="shared" si="28"/>
        <v>750000</v>
      </c>
      <c r="M484">
        <f t="shared" si="29"/>
        <v>600000</v>
      </c>
      <c r="N484">
        <f t="shared" si="30"/>
        <v>150000</v>
      </c>
      <c r="O484" s="2">
        <f t="shared" si="31"/>
        <v>0.2</v>
      </c>
    </row>
    <row r="485" spans="1:15">
      <c r="A485" t="s">
        <v>887</v>
      </c>
      <c r="B485" t="s">
        <v>322</v>
      </c>
      <c r="C485" t="s">
        <v>543</v>
      </c>
      <c r="D485" t="s">
        <v>11</v>
      </c>
      <c r="E485" t="s">
        <v>124</v>
      </c>
      <c r="F485">
        <v>2</v>
      </c>
      <c r="G485">
        <v>18000</v>
      </c>
      <c r="H485" t="s">
        <v>116</v>
      </c>
      <c r="I485" t="str">
        <f>_xlfn.XLOOKUP(E485,'Products Master'!A:A,'Products Master'!B:B)</f>
        <v>Storage</v>
      </c>
      <c r="J485">
        <f>_xlfn.XLOOKUP(E485,'Products Master'!A:A,'Products Master'!C:C)</f>
        <v>12000</v>
      </c>
      <c r="K485" t="str">
        <f>_xlfn.XLOOKUP(E485,'Products Master'!A:A,'Products Master'!D:D)</f>
        <v>Kingston</v>
      </c>
      <c r="L485">
        <f t="shared" si="28"/>
        <v>36000</v>
      </c>
      <c r="M485">
        <f t="shared" si="29"/>
        <v>24000</v>
      </c>
      <c r="N485">
        <f t="shared" si="30"/>
        <v>12000</v>
      </c>
      <c r="O485" s="2">
        <f t="shared" si="31"/>
        <v>0.33333333333333331</v>
      </c>
    </row>
    <row r="486" spans="1:15">
      <c r="A486" t="s">
        <v>888</v>
      </c>
      <c r="B486" t="s">
        <v>59</v>
      </c>
      <c r="C486" t="s">
        <v>28</v>
      </c>
      <c r="D486" t="s">
        <v>23</v>
      </c>
      <c r="E486" t="s">
        <v>49</v>
      </c>
      <c r="F486">
        <v>1</v>
      </c>
      <c r="G486">
        <v>9500</v>
      </c>
      <c r="H486" t="s">
        <v>41</v>
      </c>
      <c r="I486" t="str">
        <f>_xlfn.XLOOKUP(E486,'Products Master'!A:A,'Products Master'!B:B)</f>
        <v>Accessories</v>
      </c>
      <c r="J486">
        <f>_xlfn.XLOOKUP(E486,'Products Master'!A:A,'Products Master'!C:C)</f>
        <v>7000</v>
      </c>
      <c r="K486" t="str">
        <f>_xlfn.XLOOKUP(E486,'Products Master'!A:A,'Products Master'!D:D)</f>
        <v>Logitech</v>
      </c>
      <c r="L486">
        <f t="shared" si="28"/>
        <v>9500</v>
      </c>
      <c r="M486">
        <f t="shared" si="29"/>
        <v>7000</v>
      </c>
      <c r="N486">
        <f t="shared" si="30"/>
        <v>2500</v>
      </c>
      <c r="O486" s="2">
        <f t="shared" si="31"/>
        <v>0.26315789473684209</v>
      </c>
    </row>
    <row r="487" spans="1:15">
      <c r="A487" t="s">
        <v>889</v>
      </c>
      <c r="B487" t="s">
        <v>393</v>
      </c>
      <c r="C487" t="s">
        <v>74</v>
      </c>
      <c r="D487" t="s">
        <v>29</v>
      </c>
      <c r="E487" t="s">
        <v>54</v>
      </c>
      <c r="F487">
        <v>5</v>
      </c>
      <c r="G487">
        <v>7000</v>
      </c>
      <c r="H487" t="s">
        <v>66</v>
      </c>
      <c r="I487" t="str">
        <f>_xlfn.XLOOKUP(E487,'Products Master'!A:A,'Products Master'!B:B)</f>
        <v>Accessories</v>
      </c>
      <c r="J487">
        <f>_xlfn.XLOOKUP(E487,'Products Master'!A:A,'Products Master'!C:C)</f>
        <v>5000</v>
      </c>
      <c r="K487" t="str">
        <f>_xlfn.XLOOKUP(E487,'Products Master'!A:A,'Products Master'!D:D)</f>
        <v>Sony</v>
      </c>
      <c r="L487">
        <f t="shared" si="28"/>
        <v>35000</v>
      </c>
      <c r="M487">
        <f t="shared" si="29"/>
        <v>25000</v>
      </c>
      <c r="N487">
        <f t="shared" si="30"/>
        <v>10000</v>
      </c>
      <c r="O487" s="2">
        <f t="shared" si="31"/>
        <v>0.2857142857142857</v>
      </c>
    </row>
    <row r="488" spans="1:15">
      <c r="A488" t="s">
        <v>890</v>
      </c>
      <c r="B488" t="s">
        <v>717</v>
      </c>
      <c r="C488" t="s">
        <v>387</v>
      </c>
      <c r="D488" t="s">
        <v>23</v>
      </c>
      <c r="E488" t="s">
        <v>12</v>
      </c>
      <c r="F488">
        <v>5</v>
      </c>
      <c r="G488">
        <v>150000</v>
      </c>
      <c r="H488" t="s">
        <v>66</v>
      </c>
      <c r="I488" t="str">
        <f>_xlfn.XLOOKUP(E488,'Products Master'!A:A,'Products Master'!B:B)</f>
        <v>Electronics</v>
      </c>
      <c r="J488">
        <f>_xlfn.XLOOKUP(E488,'Products Master'!A:A,'Products Master'!C:C)</f>
        <v>120000</v>
      </c>
      <c r="K488" t="str">
        <f>_xlfn.XLOOKUP(E488,'Products Master'!A:A,'Products Master'!D:D)</f>
        <v>Dell</v>
      </c>
      <c r="L488">
        <f t="shared" si="28"/>
        <v>750000</v>
      </c>
      <c r="M488">
        <f t="shared" si="29"/>
        <v>600000</v>
      </c>
      <c r="N488">
        <f t="shared" si="30"/>
        <v>150000</v>
      </c>
      <c r="O488" s="2">
        <f t="shared" si="31"/>
        <v>0.2</v>
      </c>
    </row>
    <row r="489" spans="1:15">
      <c r="A489" t="s">
        <v>891</v>
      </c>
      <c r="B489" t="s">
        <v>787</v>
      </c>
      <c r="C489" t="s">
        <v>502</v>
      </c>
      <c r="D489" t="s">
        <v>111</v>
      </c>
      <c r="E489" t="s">
        <v>12</v>
      </c>
      <c r="F489">
        <v>2</v>
      </c>
      <c r="G489">
        <v>150000</v>
      </c>
      <c r="H489" t="s">
        <v>13</v>
      </c>
      <c r="I489" t="str">
        <f>_xlfn.XLOOKUP(E489,'Products Master'!A:A,'Products Master'!B:B)</f>
        <v>Electronics</v>
      </c>
      <c r="J489">
        <f>_xlfn.XLOOKUP(E489,'Products Master'!A:A,'Products Master'!C:C)</f>
        <v>120000</v>
      </c>
      <c r="K489" t="str">
        <f>_xlfn.XLOOKUP(E489,'Products Master'!A:A,'Products Master'!D:D)</f>
        <v>Dell</v>
      </c>
      <c r="L489">
        <f t="shared" si="28"/>
        <v>300000</v>
      </c>
      <c r="M489">
        <f t="shared" si="29"/>
        <v>240000</v>
      </c>
      <c r="N489">
        <f t="shared" si="30"/>
        <v>60000</v>
      </c>
      <c r="O489" s="2">
        <f t="shared" si="31"/>
        <v>0.2</v>
      </c>
    </row>
    <row r="490" spans="1:15">
      <c r="A490" t="s">
        <v>892</v>
      </c>
      <c r="B490" t="s">
        <v>822</v>
      </c>
      <c r="C490" t="s">
        <v>104</v>
      </c>
      <c r="D490" t="s">
        <v>17</v>
      </c>
      <c r="E490" t="s">
        <v>12</v>
      </c>
      <c r="F490">
        <v>1</v>
      </c>
      <c r="G490">
        <v>150000</v>
      </c>
      <c r="H490" t="s">
        <v>19</v>
      </c>
      <c r="I490" t="str">
        <f>_xlfn.XLOOKUP(E490,'Products Master'!A:A,'Products Master'!B:B)</f>
        <v>Electronics</v>
      </c>
      <c r="J490">
        <f>_xlfn.XLOOKUP(E490,'Products Master'!A:A,'Products Master'!C:C)</f>
        <v>120000</v>
      </c>
      <c r="K490" t="str">
        <f>_xlfn.XLOOKUP(E490,'Products Master'!A:A,'Products Master'!D:D)</f>
        <v>Dell</v>
      </c>
      <c r="L490">
        <f t="shared" si="28"/>
        <v>150000</v>
      </c>
      <c r="M490">
        <f t="shared" si="29"/>
        <v>120000</v>
      </c>
      <c r="N490">
        <f t="shared" si="30"/>
        <v>30000</v>
      </c>
      <c r="O490" s="2">
        <f t="shared" si="31"/>
        <v>0.2</v>
      </c>
    </row>
    <row r="491" spans="1:15">
      <c r="A491" t="s">
        <v>893</v>
      </c>
      <c r="B491" t="s">
        <v>504</v>
      </c>
      <c r="C491" t="s">
        <v>454</v>
      </c>
      <c r="D491" t="s">
        <v>111</v>
      </c>
      <c r="E491" t="s">
        <v>49</v>
      </c>
      <c r="F491">
        <v>4</v>
      </c>
      <c r="G491">
        <v>9500</v>
      </c>
      <c r="H491" t="s">
        <v>95</v>
      </c>
      <c r="I491" t="str">
        <f>_xlfn.XLOOKUP(E491,'Products Master'!A:A,'Products Master'!B:B)</f>
        <v>Accessories</v>
      </c>
      <c r="J491">
        <f>_xlfn.XLOOKUP(E491,'Products Master'!A:A,'Products Master'!C:C)</f>
        <v>7000</v>
      </c>
      <c r="K491" t="str">
        <f>_xlfn.XLOOKUP(E491,'Products Master'!A:A,'Products Master'!D:D)</f>
        <v>Logitech</v>
      </c>
      <c r="L491">
        <f t="shared" si="28"/>
        <v>38000</v>
      </c>
      <c r="M491">
        <f t="shared" si="29"/>
        <v>28000</v>
      </c>
      <c r="N491">
        <f t="shared" si="30"/>
        <v>10000</v>
      </c>
      <c r="O491" s="2">
        <f t="shared" si="31"/>
        <v>0.26315789473684209</v>
      </c>
    </row>
    <row r="492" spans="1:15">
      <c r="A492" t="s">
        <v>894</v>
      </c>
      <c r="B492" t="s">
        <v>239</v>
      </c>
      <c r="C492" t="s">
        <v>543</v>
      </c>
      <c r="D492" t="s">
        <v>17</v>
      </c>
      <c r="E492" t="s">
        <v>124</v>
      </c>
      <c r="F492">
        <v>3</v>
      </c>
      <c r="G492">
        <v>18000</v>
      </c>
      <c r="H492" t="s">
        <v>116</v>
      </c>
      <c r="I492" t="str">
        <f>_xlfn.XLOOKUP(E492,'Products Master'!A:A,'Products Master'!B:B)</f>
        <v>Storage</v>
      </c>
      <c r="J492">
        <f>_xlfn.XLOOKUP(E492,'Products Master'!A:A,'Products Master'!C:C)</f>
        <v>12000</v>
      </c>
      <c r="K492" t="str">
        <f>_xlfn.XLOOKUP(E492,'Products Master'!A:A,'Products Master'!D:D)</f>
        <v>Kingston</v>
      </c>
      <c r="L492">
        <f t="shared" si="28"/>
        <v>54000</v>
      </c>
      <c r="M492">
        <f t="shared" si="29"/>
        <v>36000</v>
      </c>
      <c r="N492">
        <f t="shared" si="30"/>
        <v>18000</v>
      </c>
      <c r="O492" s="2">
        <f t="shared" si="31"/>
        <v>0.33333333333333331</v>
      </c>
    </row>
    <row r="493" spans="1:15">
      <c r="A493" t="s">
        <v>895</v>
      </c>
      <c r="B493" t="s">
        <v>296</v>
      </c>
      <c r="C493" t="s">
        <v>481</v>
      </c>
      <c r="D493" t="s">
        <v>111</v>
      </c>
      <c r="E493" t="s">
        <v>179</v>
      </c>
      <c r="F493">
        <v>2</v>
      </c>
      <c r="G493">
        <v>80000</v>
      </c>
      <c r="H493" t="s">
        <v>116</v>
      </c>
      <c r="I493" t="str">
        <f>_xlfn.XLOOKUP(E493,'Products Master'!A:A,'Products Master'!B:B)</f>
        <v>Electronics</v>
      </c>
      <c r="J493">
        <f>_xlfn.XLOOKUP(E493,'Products Master'!A:A,'Products Master'!C:C)</f>
        <v>65000</v>
      </c>
      <c r="K493" t="str">
        <f>_xlfn.XLOOKUP(E493,'Products Master'!A:A,'Products Master'!D:D)</f>
        <v>Samsung</v>
      </c>
      <c r="L493">
        <f t="shared" si="28"/>
        <v>160000</v>
      </c>
      <c r="M493">
        <f t="shared" si="29"/>
        <v>130000</v>
      </c>
      <c r="N493">
        <f t="shared" si="30"/>
        <v>30000</v>
      </c>
      <c r="O493" s="2">
        <f t="shared" si="31"/>
        <v>0.1875</v>
      </c>
    </row>
    <row r="494" spans="1:15">
      <c r="A494" t="s">
        <v>896</v>
      </c>
      <c r="B494" t="s">
        <v>897</v>
      </c>
      <c r="C494" t="s">
        <v>318</v>
      </c>
      <c r="D494" t="s">
        <v>17</v>
      </c>
      <c r="E494" t="s">
        <v>49</v>
      </c>
      <c r="F494">
        <v>2</v>
      </c>
      <c r="G494">
        <v>9500</v>
      </c>
      <c r="H494" t="s">
        <v>41</v>
      </c>
      <c r="I494" t="str">
        <f>_xlfn.XLOOKUP(E494,'Products Master'!A:A,'Products Master'!B:B)</f>
        <v>Accessories</v>
      </c>
      <c r="J494">
        <f>_xlfn.XLOOKUP(E494,'Products Master'!A:A,'Products Master'!C:C)</f>
        <v>7000</v>
      </c>
      <c r="K494" t="str">
        <f>_xlfn.XLOOKUP(E494,'Products Master'!A:A,'Products Master'!D:D)</f>
        <v>Logitech</v>
      </c>
      <c r="L494">
        <f t="shared" si="28"/>
        <v>19000</v>
      </c>
      <c r="M494">
        <f t="shared" si="29"/>
        <v>14000</v>
      </c>
      <c r="N494">
        <f t="shared" si="30"/>
        <v>5000</v>
      </c>
      <c r="O494" s="2">
        <f t="shared" si="31"/>
        <v>0.26315789473684209</v>
      </c>
    </row>
    <row r="495" spans="1:15">
      <c r="A495" t="s">
        <v>898</v>
      </c>
      <c r="B495" t="s">
        <v>899</v>
      </c>
      <c r="C495" t="s">
        <v>536</v>
      </c>
      <c r="D495" t="s">
        <v>111</v>
      </c>
      <c r="E495" t="s">
        <v>18</v>
      </c>
      <c r="F495">
        <v>3</v>
      </c>
      <c r="G495">
        <v>45000</v>
      </c>
      <c r="H495" t="s">
        <v>36</v>
      </c>
      <c r="I495" t="str">
        <f>_xlfn.XLOOKUP(E495,'Products Master'!A:A,'Products Master'!B:B)</f>
        <v>Electronics</v>
      </c>
      <c r="J495">
        <f>_xlfn.XLOOKUP(E495,'Products Master'!A:A,'Products Master'!C:C)</f>
        <v>35000</v>
      </c>
      <c r="K495" t="str">
        <f>_xlfn.XLOOKUP(E495,'Products Master'!A:A,'Products Master'!D:D)</f>
        <v>HP</v>
      </c>
      <c r="L495">
        <f t="shared" si="28"/>
        <v>135000</v>
      </c>
      <c r="M495">
        <f t="shared" si="29"/>
        <v>105000</v>
      </c>
      <c r="N495">
        <f t="shared" si="30"/>
        <v>30000</v>
      </c>
      <c r="O495" s="2">
        <f t="shared" si="31"/>
        <v>0.22222222222222221</v>
      </c>
    </row>
    <row r="496" spans="1:15">
      <c r="A496" t="s">
        <v>900</v>
      </c>
      <c r="B496" t="s">
        <v>131</v>
      </c>
      <c r="C496" t="s">
        <v>318</v>
      </c>
      <c r="D496" t="s">
        <v>11</v>
      </c>
      <c r="E496" t="s">
        <v>40</v>
      </c>
      <c r="F496">
        <v>1</v>
      </c>
      <c r="G496">
        <v>60000</v>
      </c>
      <c r="H496" t="s">
        <v>116</v>
      </c>
      <c r="I496" t="str">
        <f>_xlfn.XLOOKUP(E496,'Products Master'!A:A,'Products Master'!B:B)</f>
        <v>Electronics</v>
      </c>
      <c r="J496">
        <f>_xlfn.XLOOKUP(E496,'Products Master'!A:A,'Products Master'!C:C)</f>
        <v>50000</v>
      </c>
      <c r="K496" t="str">
        <f>_xlfn.XLOOKUP(E496,'Products Master'!A:A,'Products Master'!D:D)</f>
        <v>LG</v>
      </c>
      <c r="L496">
        <f t="shared" si="28"/>
        <v>60000</v>
      </c>
      <c r="M496">
        <f t="shared" si="29"/>
        <v>50000</v>
      </c>
      <c r="N496">
        <f t="shared" si="30"/>
        <v>10000</v>
      </c>
      <c r="O496" s="2">
        <f t="shared" si="31"/>
        <v>0.16666666666666666</v>
      </c>
    </row>
    <row r="497" spans="1:15">
      <c r="A497" t="s">
        <v>901</v>
      </c>
      <c r="B497" t="s">
        <v>239</v>
      </c>
      <c r="C497" t="s">
        <v>337</v>
      </c>
      <c r="D497" t="s">
        <v>11</v>
      </c>
      <c r="E497" t="s">
        <v>124</v>
      </c>
      <c r="F497">
        <v>2</v>
      </c>
      <c r="G497">
        <v>18000</v>
      </c>
      <c r="H497" t="s">
        <v>19</v>
      </c>
      <c r="I497" t="str">
        <f>_xlfn.XLOOKUP(E497,'Products Master'!A:A,'Products Master'!B:B)</f>
        <v>Storage</v>
      </c>
      <c r="J497">
        <f>_xlfn.XLOOKUP(E497,'Products Master'!A:A,'Products Master'!C:C)</f>
        <v>12000</v>
      </c>
      <c r="K497" t="str">
        <f>_xlfn.XLOOKUP(E497,'Products Master'!A:A,'Products Master'!D:D)</f>
        <v>Kingston</v>
      </c>
      <c r="L497">
        <f t="shared" si="28"/>
        <v>36000</v>
      </c>
      <c r="M497">
        <f t="shared" si="29"/>
        <v>24000</v>
      </c>
      <c r="N497">
        <f t="shared" si="30"/>
        <v>12000</v>
      </c>
      <c r="O497" s="2">
        <f t="shared" si="31"/>
        <v>0.33333333333333331</v>
      </c>
    </row>
    <row r="498" spans="1:15">
      <c r="A498" t="s">
        <v>902</v>
      </c>
      <c r="B498" t="s">
        <v>15</v>
      </c>
      <c r="C498" t="s">
        <v>263</v>
      </c>
      <c r="D498" t="s">
        <v>17</v>
      </c>
      <c r="E498" t="s">
        <v>99</v>
      </c>
      <c r="F498">
        <v>4</v>
      </c>
      <c r="G498">
        <v>5000</v>
      </c>
      <c r="H498" t="s">
        <v>30</v>
      </c>
      <c r="I498" t="str">
        <f>_xlfn.XLOOKUP(E498,'Products Master'!A:A,'Products Master'!B:B)</f>
        <v>Accessories</v>
      </c>
      <c r="J498">
        <f>_xlfn.XLOOKUP(E498,'Products Master'!A:A,'Products Master'!C:C)</f>
        <v>3500</v>
      </c>
      <c r="K498" t="str">
        <f>_xlfn.XLOOKUP(E498,'Products Master'!A:A,'Products Master'!D:D)</f>
        <v>Logitech</v>
      </c>
      <c r="L498">
        <f t="shared" si="28"/>
        <v>20000</v>
      </c>
      <c r="M498">
        <f t="shared" si="29"/>
        <v>14000</v>
      </c>
      <c r="N498">
        <f t="shared" si="30"/>
        <v>6000</v>
      </c>
      <c r="O498" s="2">
        <f t="shared" si="31"/>
        <v>0.3</v>
      </c>
    </row>
    <row r="499" spans="1:15">
      <c r="A499" t="s">
        <v>903</v>
      </c>
      <c r="B499" t="s">
        <v>726</v>
      </c>
      <c r="C499" t="s">
        <v>137</v>
      </c>
      <c r="D499" t="s">
        <v>115</v>
      </c>
      <c r="E499" t="s">
        <v>24</v>
      </c>
      <c r="F499">
        <v>1</v>
      </c>
      <c r="G499">
        <v>2500</v>
      </c>
      <c r="H499" t="s">
        <v>116</v>
      </c>
      <c r="I499" t="str">
        <f>_xlfn.XLOOKUP(E499,'Products Master'!A:A,'Products Master'!B:B)</f>
        <v>Accessories</v>
      </c>
      <c r="J499">
        <f>_xlfn.XLOOKUP(E499,'Products Master'!A:A,'Products Master'!C:C)</f>
        <v>1500</v>
      </c>
      <c r="K499" t="str">
        <f>_xlfn.XLOOKUP(E499,'Products Master'!A:A,'Products Master'!D:D)</f>
        <v>Logitech</v>
      </c>
      <c r="L499">
        <f t="shared" si="28"/>
        <v>2500</v>
      </c>
      <c r="M499">
        <f t="shared" si="29"/>
        <v>1500</v>
      </c>
      <c r="N499">
        <f t="shared" si="30"/>
        <v>1000</v>
      </c>
      <c r="O499" s="2">
        <f t="shared" si="31"/>
        <v>0.4</v>
      </c>
    </row>
    <row r="500" spans="1:15">
      <c r="A500" t="s">
        <v>904</v>
      </c>
      <c r="B500" t="s">
        <v>123</v>
      </c>
      <c r="C500" t="s">
        <v>22</v>
      </c>
      <c r="D500" t="s">
        <v>17</v>
      </c>
      <c r="E500" t="s">
        <v>49</v>
      </c>
      <c r="F500">
        <v>1</v>
      </c>
      <c r="G500">
        <v>9500</v>
      </c>
      <c r="H500" t="s">
        <v>19</v>
      </c>
      <c r="I500" t="str">
        <f>_xlfn.XLOOKUP(E500,'Products Master'!A:A,'Products Master'!B:B)</f>
        <v>Accessories</v>
      </c>
      <c r="J500">
        <f>_xlfn.XLOOKUP(E500,'Products Master'!A:A,'Products Master'!C:C)</f>
        <v>7000</v>
      </c>
      <c r="K500" t="str">
        <f>_xlfn.XLOOKUP(E500,'Products Master'!A:A,'Products Master'!D:D)</f>
        <v>Logitech</v>
      </c>
      <c r="L500">
        <f t="shared" si="28"/>
        <v>9500</v>
      </c>
      <c r="M500">
        <f t="shared" si="29"/>
        <v>7000</v>
      </c>
      <c r="N500">
        <f t="shared" si="30"/>
        <v>2500</v>
      </c>
      <c r="O500" s="2">
        <f t="shared" si="31"/>
        <v>0.26315789473684209</v>
      </c>
    </row>
    <row r="501" spans="1:15">
      <c r="A501" t="s">
        <v>905</v>
      </c>
      <c r="B501" t="s">
        <v>523</v>
      </c>
      <c r="C501" t="s">
        <v>72</v>
      </c>
      <c r="D501" t="s">
        <v>17</v>
      </c>
      <c r="E501" t="s">
        <v>12</v>
      </c>
      <c r="F501">
        <v>1</v>
      </c>
      <c r="G501">
        <v>150000</v>
      </c>
      <c r="H501" t="s">
        <v>41</v>
      </c>
      <c r="I501" t="str">
        <f>_xlfn.XLOOKUP(E501,'Products Master'!A:A,'Products Master'!B:B)</f>
        <v>Electronics</v>
      </c>
      <c r="J501">
        <f>_xlfn.XLOOKUP(E501,'Products Master'!A:A,'Products Master'!C:C)</f>
        <v>120000</v>
      </c>
      <c r="K501" t="str">
        <f>_xlfn.XLOOKUP(E501,'Products Master'!A:A,'Products Master'!D:D)</f>
        <v>Dell</v>
      </c>
      <c r="L501">
        <f t="shared" si="28"/>
        <v>150000</v>
      </c>
      <c r="M501">
        <f t="shared" si="29"/>
        <v>120000</v>
      </c>
      <c r="N501">
        <f t="shared" si="30"/>
        <v>30000</v>
      </c>
      <c r="O501" s="2">
        <f t="shared" si="31"/>
        <v>0.2</v>
      </c>
    </row>
    <row r="502" spans="1:15">
      <c r="A502" t="s">
        <v>906</v>
      </c>
      <c r="B502" t="s">
        <v>320</v>
      </c>
      <c r="C502" t="s">
        <v>466</v>
      </c>
      <c r="D502" t="s">
        <v>111</v>
      </c>
      <c r="E502" t="s">
        <v>40</v>
      </c>
      <c r="F502">
        <v>2</v>
      </c>
      <c r="G502">
        <v>60000</v>
      </c>
      <c r="H502" t="s">
        <v>50</v>
      </c>
      <c r="I502" t="str">
        <f>_xlfn.XLOOKUP(E502,'Products Master'!A:A,'Products Master'!B:B)</f>
        <v>Electronics</v>
      </c>
      <c r="J502">
        <f>_xlfn.XLOOKUP(E502,'Products Master'!A:A,'Products Master'!C:C)</f>
        <v>50000</v>
      </c>
      <c r="K502" t="str">
        <f>_xlfn.XLOOKUP(E502,'Products Master'!A:A,'Products Master'!D:D)</f>
        <v>LG</v>
      </c>
      <c r="L502">
        <f t="shared" si="28"/>
        <v>120000</v>
      </c>
      <c r="M502">
        <f t="shared" si="29"/>
        <v>100000</v>
      </c>
      <c r="N502">
        <f t="shared" si="30"/>
        <v>20000</v>
      </c>
      <c r="O502" s="2">
        <f t="shared" si="31"/>
        <v>0.16666666666666666</v>
      </c>
    </row>
    <row r="503" spans="1:15">
      <c r="A503" t="s">
        <v>907</v>
      </c>
      <c r="B503" t="s">
        <v>172</v>
      </c>
      <c r="C503" t="s">
        <v>212</v>
      </c>
      <c r="D503" t="s">
        <v>34</v>
      </c>
      <c r="E503" t="s">
        <v>18</v>
      </c>
      <c r="F503">
        <v>5</v>
      </c>
      <c r="G503">
        <v>45000</v>
      </c>
      <c r="H503" t="s">
        <v>95</v>
      </c>
      <c r="I503" t="str">
        <f>_xlfn.XLOOKUP(E503,'Products Master'!A:A,'Products Master'!B:B)</f>
        <v>Electronics</v>
      </c>
      <c r="J503">
        <f>_xlfn.XLOOKUP(E503,'Products Master'!A:A,'Products Master'!C:C)</f>
        <v>35000</v>
      </c>
      <c r="K503" t="str">
        <f>_xlfn.XLOOKUP(E503,'Products Master'!A:A,'Products Master'!D:D)</f>
        <v>HP</v>
      </c>
      <c r="L503">
        <f t="shared" si="28"/>
        <v>225000</v>
      </c>
      <c r="M503">
        <f t="shared" si="29"/>
        <v>175000</v>
      </c>
      <c r="N503">
        <f t="shared" si="30"/>
        <v>50000</v>
      </c>
      <c r="O503" s="2">
        <f t="shared" si="31"/>
        <v>0.22222222222222221</v>
      </c>
    </row>
    <row r="504" spans="1:15">
      <c r="A504" t="s">
        <v>908</v>
      </c>
      <c r="B504" t="s">
        <v>909</v>
      </c>
      <c r="C504" t="s">
        <v>226</v>
      </c>
      <c r="D504" t="s">
        <v>23</v>
      </c>
      <c r="E504" t="s">
        <v>18</v>
      </c>
      <c r="F504">
        <v>2</v>
      </c>
      <c r="G504">
        <v>45000</v>
      </c>
      <c r="H504" t="s">
        <v>50</v>
      </c>
      <c r="I504" t="str">
        <f>_xlfn.XLOOKUP(E504,'Products Master'!A:A,'Products Master'!B:B)</f>
        <v>Electronics</v>
      </c>
      <c r="J504">
        <f>_xlfn.XLOOKUP(E504,'Products Master'!A:A,'Products Master'!C:C)</f>
        <v>35000</v>
      </c>
      <c r="K504" t="str">
        <f>_xlfn.XLOOKUP(E504,'Products Master'!A:A,'Products Master'!D:D)</f>
        <v>HP</v>
      </c>
      <c r="L504">
        <f t="shared" si="28"/>
        <v>90000</v>
      </c>
      <c r="M504">
        <f t="shared" si="29"/>
        <v>70000</v>
      </c>
      <c r="N504">
        <f t="shared" si="30"/>
        <v>20000</v>
      </c>
      <c r="O504" s="2">
        <f t="shared" si="31"/>
        <v>0.22222222222222221</v>
      </c>
    </row>
    <row r="505" spans="1:15">
      <c r="A505" t="s">
        <v>910</v>
      </c>
      <c r="B505" t="s">
        <v>911</v>
      </c>
      <c r="C505" t="s">
        <v>209</v>
      </c>
      <c r="D505" t="s">
        <v>29</v>
      </c>
      <c r="E505" t="s">
        <v>179</v>
      </c>
      <c r="F505">
        <v>3</v>
      </c>
      <c r="G505">
        <v>80000</v>
      </c>
      <c r="H505" t="s">
        <v>30</v>
      </c>
      <c r="I505" t="str">
        <f>_xlfn.XLOOKUP(E505,'Products Master'!A:A,'Products Master'!B:B)</f>
        <v>Electronics</v>
      </c>
      <c r="J505">
        <f>_xlfn.XLOOKUP(E505,'Products Master'!A:A,'Products Master'!C:C)</f>
        <v>65000</v>
      </c>
      <c r="K505" t="str">
        <f>_xlfn.XLOOKUP(E505,'Products Master'!A:A,'Products Master'!D:D)</f>
        <v>Samsung</v>
      </c>
      <c r="L505">
        <f t="shared" si="28"/>
        <v>240000</v>
      </c>
      <c r="M505">
        <f t="shared" si="29"/>
        <v>195000</v>
      </c>
      <c r="N505">
        <f t="shared" si="30"/>
        <v>45000</v>
      </c>
      <c r="O505" s="2">
        <f t="shared" si="31"/>
        <v>0.1875</v>
      </c>
    </row>
    <row r="506" spans="1:15">
      <c r="A506" t="s">
        <v>912</v>
      </c>
      <c r="B506" t="s">
        <v>670</v>
      </c>
      <c r="C506" t="s">
        <v>119</v>
      </c>
      <c r="D506" t="s">
        <v>111</v>
      </c>
      <c r="E506" t="s">
        <v>179</v>
      </c>
      <c r="F506">
        <v>2</v>
      </c>
      <c r="G506">
        <v>80000</v>
      </c>
      <c r="H506" t="s">
        <v>116</v>
      </c>
      <c r="I506" t="str">
        <f>_xlfn.XLOOKUP(E506,'Products Master'!A:A,'Products Master'!B:B)</f>
        <v>Electronics</v>
      </c>
      <c r="J506">
        <f>_xlfn.XLOOKUP(E506,'Products Master'!A:A,'Products Master'!C:C)</f>
        <v>65000</v>
      </c>
      <c r="K506" t="str">
        <f>_xlfn.XLOOKUP(E506,'Products Master'!A:A,'Products Master'!D:D)</f>
        <v>Samsung</v>
      </c>
      <c r="L506">
        <f t="shared" si="28"/>
        <v>160000</v>
      </c>
      <c r="M506">
        <f t="shared" si="29"/>
        <v>130000</v>
      </c>
      <c r="N506">
        <f t="shared" si="30"/>
        <v>30000</v>
      </c>
      <c r="O506" s="2">
        <f t="shared" si="31"/>
        <v>0.1875</v>
      </c>
    </row>
    <row r="507" spans="1:15">
      <c r="A507" t="s">
        <v>913</v>
      </c>
      <c r="B507" t="s">
        <v>848</v>
      </c>
      <c r="C507" t="s">
        <v>209</v>
      </c>
      <c r="D507" t="s">
        <v>115</v>
      </c>
      <c r="E507" t="s">
        <v>124</v>
      </c>
      <c r="F507">
        <v>2</v>
      </c>
      <c r="G507">
        <v>18000</v>
      </c>
      <c r="H507" t="s">
        <v>25</v>
      </c>
      <c r="I507" t="str">
        <f>_xlfn.XLOOKUP(E507,'Products Master'!A:A,'Products Master'!B:B)</f>
        <v>Storage</v>
      </c>
      <c r="J507">
        <f>_xlfn.XLOOKUP(E507,'Products Master'!A:A,'Products Master'!C:C)</f>
        <v>12000</v>
      </c>
      <c r="K507" t="str">
        <f>_xlfn.XLOOKUP(E507,'Products Master'!A:A,'Products Master'!D:D)</f>
        <v>Kingston</v>
      </c>
      <c r="L507">
        <f t="shared" si="28"/>
        <v>36000</v>
      </c>
      <c r="M507">
        <f t="shared" si="29"/>
        <v>24000</v>
      </c>
      <c r="N507">
        <f t="shared" si="30"/>
        <v>12000</v>
      </c>
      <c r="O507" s="2">
        <f t="shared" si="31"/>
        <v>0.33333333333333331</v>
      </c>
    </row>
    <row r="508" spans="1:15">
      <c r="A508" t="s">
        <v>914</v>
      </c>
      <c r="B508" t="s">
        <v>307</v>
      </c>
      <c r="C508" t="s">
        <v>230</v>
      </c>
      <c r="D508" t="s">
        <v>115</v>
      </c>
      <c r="E508" t="s">
        <v>18</v>
      </c>
      <c r="F508">
        <v>4</v>
      </c>
      <c r="G508">
        <v>45000</v>
      </c>
      <c r="H508" t="s">
        <v>95</v>
      </c>
      <c r="I508" t="str">
        <f>_xlfn.XLOOKUP(E508,'Products Master'!A:A,'Products Master'!B:B)</f>
        <v>Electronics</v>
      </c>
      <c r="J508">
        <f>_xlfn.XLOOKUP(E508,'Products Master'!A:A,'Products Master'!C:C)</f>
        <v>35000</v>
      </c>
      <c r="K508" t="str">
        <f>_xlfn.XLOOKUP(E508,'Products Master'!A:A,'Products Master'!D:D)</f>
        <v>HP</v>
      </c>
      <c r="L508">
        <f t="shared" si="28"/>
        <v>180000</v>
      </c>
      <c r="M508">
        <f t="shared" si="29"/>
        <v>140000</v>
      </c>
      <c r="N508">
        <f t="shared" si="30"/>
        <v>40000</v>
      </c>
      <c r="O508" s="2">
        <f t="shared" si="31"/>
        <v>0.22222222222222221</v>
      </c>
    </row>
    <row r="509" spans="1:15">
      <c r="A509" t="s">
        <v>915</v>
      </c>
      <c r="B509" t="s">
        <v>916</v>
      </c>
      <c r="C509" t="s">
        <v>63</v>
      </c>
      <c r="D509" t="s">
        <v>45</v>
      </c>
      <c r="E509" t="s">
        <v>40</v>
      </c>
      <c r="F509">
        <v>5</v>
      </c>
      <c r="G509">
        <v>60000</v>
      </c>
      <c r="H509" t="s">
        <v>25</v>
      </c>
      <c r="I509" t="str">
        <f>_xlfn.XLOOKUP(E509,'Products Master'!A:A,'Products Master'!B:B)</f>
        <v>Electronics</v>
      </c>
      <c r="J509">
        <f>_xlfn.XLOOKUP(E509,'Products Master'!A:A,'Products Master'!C:C)</f>
        <v>50000</v>
      </c>
      <c r="K509" t="str">
        <f>_xlfn.XLOOKUP(E509,'Products Master'!A:A,'Products Master'!D:D)</f>
        <v>LG</v>
      </c>
      <c r="L509">
        <f t="shared" si="28"/>
        <v>300000</v>
      </c>
      <c r="M509">
        <f t="shared" si="29"/>
        <v>250000</v>
      </c>
      <c r="N509">
        <f t="shared" si="30"/>
        <v>50000</v>
      </c>
      <c r="O509" s="2">
        <f t="shared" si="31"/>
        <v>0.16666666666666666</v>
      </c>
    </row>
    <row r="510" spans="1:15">
      <c r="A510" t="s">
        <v>917</v>
      </c>
      <c r="B510" t="s">
        <v>833</v>
      </c>
      <c r="C510" t="s">
        <v>400</v>
      </c>
      <c r="D510" t="s">
        <v>111</v>
      </c>
      <c r="E510" t="s">
        <v>18</v>
      </c>
      <c r="F510">
        <v>1</v>
      </c>
      <c r="G510">
        <v>45000</v>
      </c>
      <c r="H510" t="s">
        <v>13</v>
      </c>
      <c r="I510" t="str">
        <f>_xlfn.XLOOKUP(E510,'Products Master'!A:A,'Products Master'!B:B)</f>
        <v>Electronics</v>
      </c>
      <c r="J510">
        <f>_xlfn.XLOOKUP(E510,'Products Master'!A:A,'Products Master'!C:C)</f>
        <v>35000</v>
      </c>
      <c r="K510" t="str">
        <f>_xlfn.XLOOKUP(E510,'Products Master'!A:A,'Products Master'!D:D)</f>
        <v>HP</v>
      </c>
      <c r="L510">
        <f t="shared" si="28"/>
        <v>45000</v>
      </c>
      <c r="M510">
        <f t="shared" si="29"/>
        <v>35000</v>
      </c>
      <c r="N510">
        <f t="shared" si="30"/>
        <v>10000</v>
      </c>
      <c r="O510" s="2">
        <f t="shared" si="31"/>
        <v>0.22222222222222221</v>
      </c>
    </row>
    <row r="511" spans="1:15">
      <c r="A511" t="s">
        <v>918</v>
      </c>
      <c r="B511" t="s">
        <v>919</v>
      </c>
      <c r="C511" t="s">
        <v>16</v>
      </c>
      <c r="D511" t="s">
        <v>11</v>
      </c>
      <c r="E511" t="s">
        <v>24</v>
      </c>
      <c r="F511">
        <v>2</v>
      </c>
      <c r="G511">
        <v>2500</v>
      </c>
      <c r="H511" t="s">
        <v>95</v>
      </c>
      <c r="I511" t="str">
        <f>_xlfn.XLOOKUP(E511,'Products Master'!A:A,'Products Master'!B:B)</f>
        <v>Accessories</v>
      </c>
      <c r="J511">
        <f>_xlfn.XLOOKUP(E511,'Products Master'!A:A,'Products Master'!C:C)</f>
        <v>1500</v>
      </c>
      <c r="K511" t="str">
        <f>_xlfn.XLOOKUP(E511,'Products Master'!A:A,'Products Master'!D:D)</f>
        <v>Logitech</v>
      </c>
      <c r="L511">
        <f t="shared" si="28"/>
        <v>5000</v>
      </c>
      <c r="M511">
        <f t="shared" si="29"/>
        <v>3000</v>
      </c>
      <c r="N511">
        <f t="shared" si="30"/>
        <v>2000</v>
      </c>
      <c r="O511" s="2">
        <f t="shared" si="31"/>
        <v>0.4</v>
      </c>
    </row>
    <row r="512" spans="1:15">
      <c r="A512" t="s">
        <v>920</v>
      </c>
      <c r="B512" t="s">
        <v>68</v>
      </c>
      <c r="C512" t="s">
        <v>526</v>
      </c>
      <c r="D512" t="s">
        <v>23</v>
      </c>
      <c r="E512" t="s">
        <v>54</v>
      </c>
      <c r="F512">
        <v>5</v>
      </c>
      <c r="G512">
        <v>7000</v>
      </c>
      <c r="H512" t="s">
        <v>41</v>
      </c>
      <c r="I512" t="str">
        <f>_xlfn.XLOOKUP(E512,'Products Master'!A:A,'Products Master'!B:B)</f>
        <v>Accessories</v>
      </c>
      <c r="J512">
        <f>_xlfn.XLOOKUP(E512,'Products Master'!A:A,'Products Master'!C:C)</f>
        <v>5000</v>
      </c>
      <c r="K512" t="str">
        <f>_xlfn.XLOOKUP(E512,'Products Master'!A:A,'Products Master'!D:D)</f>
        <v>Sony</v>
      </c>
      <c r="L512">
        <f t="shared" si="28"/>
        <v>35000</v>
      </c>
      <c r="M512">
        <f t="shared" si="29"/>
        <v>25000</v>
      </c>
      <c r="N512">
        <f t="shared" si="30"/>
        <v>10000</v>
      </c>
      <c r="O512" s="2">
        <f t="shared" si="31"/>
        <v>0.2857142857142857</v>
      </c>
    </row>
    <row r="513" spans="1:15">
      <c r="A513" t="s">
        <v>921</v>
      </c>
      <c r="B513" t="s">
        <v>922</v>
      </c>
      <c r="C513" t="s">
        <v>327</v>
      </c>
      <c r="D513" t="s">
        <v>11</v>
      </c>
      <c r="E513" t="s">
        <v>99</v>
      </c>
      <c r="F513">
        <v>2</v>
      </c>
      <c r="G513">
        <v>5000</v>
      </c>
      <c r="H513" t="s">
        <v>36</v>
      </c>
      <c r="I513" t="str">
        <f>_xlfn.XLOOKUP(E513,'Products Master'!A:A,'Products Master'!B:B)</f>
        <v>Accessories</v>
      </c>
      <c r="J513">
        <f>_xlfn.XLOOKUP(E513,'Products Master'!A:A,'Products Master'!C:C)</f>
        <v>3500</v>
      </c>
      <c r="K513" t="str">
        <f>_xlfn.XLOOKUP(E513,'Products Master'!A:A,'Products Master'!D:D)</f>
        <v>Logitech</v>
      </c>
      <c r="L513">
        <f t="shared" si="28"/>
        <v>10000</v>
      </c>
      <c r="M513">
        <f t="shared" si="29"/>
        <v>7000</v>
      </c>
      <c r="N513">
        <f t="shared" si="30"/>
        <v>3000</v>
      </c>
      <c r="O513" s="2">
        <f t="shared" si="31"/>
        <v>0.3</v>
      </c>
    </row>
    <row r="514" spans="1:15">
      <c r="A514" t="s">
        <v>923</v>
      </c>
      <c r="B514" t="s">
        <v>402</v>
      </c>
      <c r="C514" t="s">
        <v>80</v>
      </c>
      <c r="D514" t="s">
        <v>34</v>
      </c>
      <c r="E514" t="s">
        <v>179</v>
      </c>
      <c r="F514">
        <v>5</v>
      </c>
      <c r="G514">
        <v>80000</v>
      </c>
      <c r="H514" t="s">
        <v>19</v>
      </c>
      <c r="I514" t="str">
        <f>_xlfn.XLOOKUP(E514,'Products Master'!A:A,'Products Master'!B:B)</f>
        <v>Electronics</v>
      </c>
      <c r="J514">
        <f>_xlfn.XLOOKUP(E514,'Products Master'!A:A,'Products Master'!C:C)</f>
        <v>65000</v>
      </c>
      <c r="K514" t="str">
        <f>_xlfn.XLOOKUP(E514,'Products Master'!A:A,'Products Master'!D:D)</f>
        <v>Samsung</v>
      </c>
      <c r="L514">
        <f t="shared" si="28"/>
        <v>400000</v>
      </c>
      <c r="M514">
        <f t="shared" si="29"/>
        <v>325000</v>
      </c>
      <c r="N514">
        <f t="shared" si="30"/>
        <v>75000</v>
      </c>
      <c r="O514" s="2">
        <f t="shared" si="31"/>
        <v>0.1875</v>
      </c>
    </row>
    <row r="515" spans="1:15">
      <c r="A515" t="s">
        <v>924</v>
      </c>
      <c r="B515" t="s">
        <v>925</v>
      </c>
      <c r="C515" t="s">
        <v>28</v>
      </c>
      <c r="D515" t="s">
        <v>11</v>
      </c>
      <c r="E515" t="s">
        <v>12</v>
      </c>
      <c r="F515">
        <v>3</v>
      </c>
      <c r="G515">
        <v>150000</v>
      </c>
      <c r="H515" t="s">
        <v>66</v>
      </c>
      <c r="I515" t="str">
        <f>_xlfn.XLOOKUP(E515,'Products Master'!A:A,'Products Master'!B:B)</f>
        <v>Electronics</v>
      </c>
      <c r="J515">
        <f>_xlfn.XLOOKUP(E515,'Products Master'!A:A,'Products Master'!C:C)</f>
        <v>120000</v>
      </c>
      <c r="K515" t="str">
        <f>_xlfn.XLOOKUP(E515,'Products Master'!A:A,'Products Master'!D:D)</f>
        <v>Dell</v>
      </c>
      <c r="L515">
        <f t="shared" ref="L515:L578" si="32">F515*G515</f>
        <v>450000</v>
      </c>
      <c r="M515">
        <f t="shared" ref="M515:M578" si="33">F515*J515</f>
        <v>360000</v>
      </c>
      <c r="N515">
        <f t="shared" ref="N515:N578" si="34">L515-M515</f>
        <v>90000</v>
      </c>
      <c r="O515" s="2">
        <f t="shared" ref="O515:O578" si="35">N515/L515</f>
        <v>0.2</v>
      </c>
    </row>
    <row r="516" spans="1:15">
      <c r="A516" t="s">
        <v>926</v>
      </c>
      <c r="B516" t="s">
        <v>198</v>
      </c>
      <c r="C516" t="s">
        <v>212</v>
      </c>
      <c r="D516" t="s">
        <v>111</v>
      </c>
      <c r="E516" t="s">
        <v>179</v>
      </c>
      <c r="F516">
        <v>5</v>
      </c>
      <c r="G516">
        <v>80000</v>
      </c>
      <c r="H516" t="s">
        <v>41</v>
      </c>
      <c r="I516" t="str">
        <f>_xlfn.XLOOKUP(E516,'Products Master'!A:A,'Products Master'!B:B)</f>
        <v>Electronics</v>
      </c>
      <c r="J516">
        <f>_xlfn.XLOOKUP(E516,'Products Master'!A:A,'Products Master'!C:C)</f>
        <v>65000</v>
      </c>
      <c r="K516" t="str">
        <f>_xlfn.XLOOKUP(E516,'Products Master'!A:A,'Products Master'!D:D)</f>
        <v>Samsung</v>
      </c>
      <c r="L516">
        <f t="shared" si="32"/>
        <v>400000</v>
      </c>
      <c r="M516">
        <f t="shared" si="33"/>
        <v>325000</v>
      </c>
      <c r="N516">
        <f t="shared" si="34"/>
        <v>75000</v>
      </c>
      <c r="O516" s="2">
        <f t="shared" si="35"/>
        <v>0.1875</v>
      </c>
    </row>
    <row r="517" spans="1:15">
      <c r="A517" t="s">
        <v>927</v>
      </c>
      <c r="B517" t="s">
        <v>514</v>
      </c>
      <c r="C517" t="s">
        <v>466</v>
      </c>
      <c r="D517" t="s">
        <v>34</v>
      </c>
      <c r="E517" t="s">
        <v>49</v>
      </c>
      <c r="F517">
        <v>1</v>
      </c>
      <c r="G517">
        <v>9500</v>
      </c>
      <c r="H517" t="s">
        <v>66</v>
      </c>
      <c r="I517" t="str">
        <f>_xlfn.XLOOKUP(E517,'Products Master'!A:A,'Products Master'!B:B)</f>
        <v>Accessories</v>
      </c>
      <c r="J517">
        <f>_xlfn.XLOOKUP(E517,'Products Master'!A:A,'Products Master'!C:C)</f>
        <v>7000</v>
      </c>
      <c r="K517" t="str">
        <f>_xlfn.XLOOKUP(E517,'Products Master'!A:A,'Products Master'!D:D)</f>
        <v>Logitech</v>
      </c>
      <c r="L517">
        <f t="shared" si="32"/>
        <v>9500</v>
      </c>
      <c r="M517">
        <f t="shared" si="33"/>
        <v>7000</v>
      </c>
      <c r="N517">
        <f t="shared" si="34"/>
        <v>2500</v>
      </c>
      <c r="O517" s="2">
        <f t="shared" si="35"/>
        <v>0.26315789473684209</v>
      </c>
    </row>
    <row r="518" spans="1:15">
      <c r="A518" t="s">
        <v>928</v>
      </c>
      <c r="B518" t="s">
        <v>662</v>
      </c>
      <c r="C518" t="s">
        <v>327</v>
      </c>
      <c r="D518" t="s">
        <v>115</v>
      </c>
      <c r="E518" t="s">
        <v>54</v>
      </c>
      <c r="F518">
        <v>4</v>
      </c>
      <c r="G518">
        <v>7000</v>
      </c>
      <c r="H518" t="s">
        <v>95</v>
      </c>
      <c r="I518" t="str">
        <f>_xlfn.XLOOKUP(E518,'Products Master'!A:A,'Products Master'!B:B)</f>
        <v>Accessories</v>
      </c>
      <c r="J518">
        <f>_xlfn.XLOOKUP(E518,'Products Master'!A:A,'Products Master'!C:C)</f>
        <v>5000</v>
      </c>
      <c r="K518" t="str">
        <f>_xlfn.XLOOKUP(E518,'Products Master'!A:A,'Products Master'!D:D)</f>
        <v>Sony</v>
      </c>
      <c r="L518">
        <f t="shared" si="32"/>
        <v>28000</v>
      </c>
      <c r="M518">
        <f t="shared" si="33"/>
        <v>20000</v>
      </c>
      <c r="N518">
        <f t="shared" si="34"/>
        <v>8000</v>
      </c>
      <c r="O518" s="2">
        <f t="shared" si="35"/>
        <v>0.2857142857142857</v>
      </c>
    </row>
    <row r="519" spans="1:15">
      <c r="A519" t="s">
        <v>929</v>
      </c>
      <c r="B519" t="s">
        <v>930</v>
      </c>
      <c r="C519" t="s">
        <v>127</v>
      </c>
      <c r="D519" t="s">
        <v>115</v>
      </c>
      <c r="E519" t="s">
        <v>35</v>
      </c>
      <c r="F519">
        <v>2</v>
      </c>
      <c r="G519">
        <v>2000</v>
      </c>
      <c r="H519" t="s">
        <v>30</v>
      </c>
      <c r="I519" t="str">
        <f>_xlfn.XLOOKUP(E519,'Products Master'!A:A,'Products Master'!B:B)</f>
        <v>Storage</v>
      </c>
      <c r="J519">
        <f>_xlfn.XLOOKUP(E519,'Products Master'!A:A,'Products Master'!C:C)</f>
        <v>1200</v>
      </c>
      <c r="K519" t="str">
        <f>_xlfn.XLOOKUP(E519,'Products Master'!A:A,'Products Master'!D:D)</f>
        <v>SanDisk</v>
      </c>
      <c r="L519">
        <f t="shared" si="32"/>
        <v>4000</v>
      </c>
      <c r="M519">
        <f t="shared" si="33"/>
        <v>2400</v>
      </c>
      <c r="N519">
        <f t="shared" si="34"/>
        <v>1600</v>
      </c>
      <c r="O519" s="2">
        <f t="shared" si="35"/>
        <v>0.4</v>
      </c>
    </row>
    <row r="520" spans="1:15">
      <c r="A520" t="s">
        <v>931</v>
      </c>
      <c r="B520" t="s">
        <v>262</v>
      </c>
      <c r="C520" t="s">
        <v>63</v>
      </c>
      <c r="D520" t="s">
        <v>17</v>
      </c>
      <c r="E520" t="s">
        <v>40</v>
      </c>
      <c r="F520">
        <v>4</v>
      </c>
      <c r="G520">
        <v>60000</v>
      </c>
      <c r="H520" t="s">
        <v>25</v>
      </c>
      <c r="I520" t="str">
        <f>_xlfn.XLOOKUP(E520,'Products Master'!A:A,'Products Master'!B:B)</f>
        <v>Electronics</v>
      </c>
      <c r="J520">
        <f>_xlfn.XLOOKUP(E520,'Products Master'!A:A,'Products Master'!C:C)</f>
        <v>50000</v>
      </c>
      <c r="K520" t="str">
        <f>_xlfn.XLOOKUP(E520,'Products Master'!A:A,'Products Master'!D:D)</f>
        <v>LG</v>
      </c>
      <c r="L520">
        <f t="shared" si="32"/>
        <v>240000</v>
      </c>
      <c r="M520">
        <f t="shared" si="33"/>
        <v>200000</v>
      </c>
      <c r="N520">
        <f t="shared" si="34"/>
        <v>40000</v>
      </c>
      <c r="O520" s="2">
        <f t="shared" si="35"/>
        <v>0.16666666666666666</v>
      </c>
    </row>
    <row r="521" spans="1:15">
      <c r="A521" t="s">
        <v>932</v>
      </c>
      <c r="B521" t="s">
        <v>239</v>
      </c>
      <c r="C521" t="s">
        <v>387</v>
      </c>
      <c r="D521" t="s">
        <v>23</v>
      </c>
      <c r="E521" t="s">
        <v>35</v>
      </c>
      <c r="F521">
        <v>2</v>
      </c>
      <c r="G521">
        <v>2000</v>
      </c>
      <c r="H521" t="s">
        <v>25</v>
      </c>
      <c r="I521" t="str">
        <f>_xlfn.XLOOKUP(E521,'Products Master'!A:A,'Products Master'!B:B)</f>
        <v>Storage</v>
      </c>
      <c r="J521">
        <f>_xlfn.XLOOKUP(E521,'Products Master'!A:A,'Products Master'!C:C)</f>
        <v>1200</v>
      </c>
      <c r="K521" t="str">
        <f>_xlfn.XLOOKUP(E521,'Products Master'!A:A,'Products Master'!D:D)</f>
        <v>SanDisk</v>
      </c>
      <c r="L521">
        <f t="shared" si="32"/>
        <v>4000</v>
      </c>
      <c r="M521">
        <f t="shared" si="33"/>
        <v>2400</v>
      </c>
      <c r="N521">
        <f t="shared" si="34"/>
        <v>1600</v>
      </c>
      <c r="O521" s="2">
        <f t="shared" si="35"/>
        <v>0.4</v>
      </c>
    </row>
    <row r="522" spans="1:15">
      <c r="A522" t="s">
        <v>933</v>
      </c>
      <c r="B522" t="s">
        <v>429</v>
      </c>
      <c r="C522" t="s">
        <v>842</v>
      </c>
      <c r="D522" t="s">
        <v>45</v>
      </c>
      <c r="E522" t="s">
        <v>12</v>
      </c>
      <c r="F522">
        <v>1</v>
      </c>
      <c r="G522">
        <v>150000</v>
      </c>
      <c r="H522" t="s">
        <v>50</v>
      </c>
      <c r="I522" t="str">
        <f>_xlfn.XLOOKUP(E522,'Products Master'!A:A,'Products Master'!B:B)</f>
        <v>Electronics</v>
      </c>
      <c r="J522">
        <f>_xlfn.XLOOKUP(E522,'Products Master'!A:A,'Products Master'!C:C)</f>
        <v>120000</v>
      </c>
      <c r="K522" t="str">
        <f>_xlfn.XLOOKUP(E522,'Products Master'!A:A,'Products Master'!D:D)</f>
        <v>Dell</v>
      </c>
      <c r="L522">
        <f t="shared" si="32"/>
        <v>150000</v>
      </c>
      <c r="M522">
        <f t="shared" si="33"/>
        <v>120000</v>
      </c>
      <c r="N522">
        <f t="shared" si="34"/>
        <v>30000</v>
      </c>
      <c r="O522" s="2">
        <f t="shared" si="35"/>
        <v>0.2</v>
      </c>
    </row>
    <row r="523" spans="1:15">
      <c r="A523" t="s">
        <v>934</v>
      </c>
      <c r="B523" t="s">
        <v>352</v>
      </c>
      <c r="C523" t="s">
        <v>842</v>
      </c>
      <c r="D523" t="s">
        <v>17</v>
      </c>
      <c r="E523" t="s">
        <v>24</v>
      </c>
      <c r="F523">
        <v>2</v>
      </c>
      <c r="G523">
        <v>2500</v>
      </c>
      <c r="H523" t="s">
        <v>36</v>
      </c>
      <c r="I523" t="str">
        <f>_xlfn.XLOOKUP(E523,'Products Master'!A:A,'Products Master'!B:B)</f>
        <v>Accessories</v>
      </c>
      <c r="J523">
        <f>_xlfn.XLOOKUP(E523,'Products Master'!A:A,'Products Master'!C:C)</f>
        <v>1500</v>
      </c>
      <c r="K523" t="str">
        <f>_xlfn.XLOOKUP(E523,'Products Master'!A:A,'Products Master'!D:D)</f>
        <v>Logitech</v>
      </c>
      <c r="L523">
        <f t="shared" si="32"/>
        <v>5000</v>
      </c>
      <c r="M523">
        <f t="shared" si="33"/>
        <v>3000</v>
      </c>
      <c r="N523">
        <f t="shared" si="34"/>
        <v>2000</v>
      </c>
      <c r="O523" s="2">
        <f t="shared" si="35"/>
        <v>0.4</v>
      </c>
    </row>
    <row r="524" spans="1:15">
      <c r="A524" t="s">
        <v>935</v>
      </c>
      <c r="B524" t="s">
        <v>936</v>
      </c>
      <c r="C524" t="s">
        <v>375</v>
      </c>
      <c r="D524" t="s">
        <v>34</v>
      </c>
      <c r="E524" t="s">
        <v>18</v>
      </c>
      <c r="F524">
        <v>3</v>
      </c>
      <c r="G524">
        <v>45000</v>
      </c>
      <c r="H524" t="s">
        <v>66</v>
      </c>
      <c r="I524" t="str">
        <f>_xlfn.XLOOKUP(E524,'Products Master'!A:A,'Products Master'!B:B)</f>
        <v>Electronics</v>
      </c>
      <c r="J524">
        <f>_xlfn.XLOOKUP(E524,'Products Master'!A:A,'Products Master'!C:C)</f>
        <v>35000</v>
      </c>
      <c r="K524" t="str">
        <f>_xlfn.XLOOKUP(E524,'Products Master'!A:A,'Products Master'!D:D)</f>
        <v>HP</v>
      </c>
      <c r="L524">
        <f t="shared" si="32"/>
        <v>135000</v>
      </c>
      <c r="M524">
        <f t="shared" si="33"/>
        <v>105000</v>
      </c>
      <c r="N524">
        <f t="shared" si="34"/>
        <v>30000</v>
      </c>
      <c r="O524" s="2">
        <f t="shared" si="35"/>
        <v>0.22222222222222221</v>
      </c>
    </row>
    <row r="525" spans="1:15">
      <c r="A525" t="s">
        <v>937</v>
      </c>
      <c r="B525" t="s">
        <v>71</v>
      </c>
      <c r="C525" t="s">
        <v>80</v>
      </c>
      <c r="D525" t="s">
        <v>29</v>
      </c>
      <c r="E525" t="s">
        <v>49</v>
      </c>
      <c r="F525">
        <v>1</v>
      </c>
      <c r="G525">
        <v>9500</v>
      </c>
      <c r="H525" t="s">
        <v>19</v>
      </c>
      <c r="I525" t="str">
        <f>_xlfn.XLOOKUP(E525,'Products Master'!A:A,'Products Master'!B:B)</f>
        <v>Accessories</v>
      </c>
      <c r="J525">
        <f>_xlfn.XLOOKUP(E525,'Products Master'!A:A,'Products Master'!C:C)</f>
        <v>7000</v>
      </c>
      <c r="K525" t="str">
        <f>_xlfn.XLOOKUP(E525,'Products Master'!A:A,'Products Master'!D:D)</f>
        <v>Logitech</v>
      </c>
      <c r="L525">
        <f t="shared" si="32"/>
        <v>9500</v>
      </c>
      <c r="M525">
        <f t="shared" si="33"/>
        <v>7000</v>
      </c>
      <c r="N525">
        <f t="shared" si="34"/>
        <v>2500</v>
      </c>
      <c r="O525" s="2">
        <f t="shared" si="35"/>
        <v>0.26315789473684209</v>
      </c>
    </row>
    <row r="526" spans="1:15">
      <c r="A526" t="s">
        <v>938</v>
      </c>
      <c r="B526" t="s">
        <v>939</v>
      </c>
      <c r="C526" t="s">
        <v>60</v>
      </c>
      <c r="D526" t="s">
        <v>45</v>
      </c>
      <c r="E526" t="s">
        <v>49</v>
      </c>
      <c r="F526">
        <v>4</v>
      </c>
      <c r="G526">
        <v>9500</v>
      </c>
      <c r="H526" t="s">
        <v>41</v>
      </c>
      <c r="I526" t="str">
        <f>_xlfn.XLOOKUP(E526,'Products Master'!A:A,'Products Master'!B:B)</f>
        <v>Accessories</v>
      </c>
      <c r="J526">
        <f>_xlfn.XLOOKUP(E526,'Products Master'!A:A,'Products Master'!C:C)</f>
        <v>7000</v>
      </c>
      <c r="K526" t="str">
        <f>_xlfn.XLOOKUP(E526,'Products Master'!A:A,'Products Master'!D:D)</f>
        <v>Logitech</v>
      </c>
      <c r="L526">
        <f t="shared" si="32"/>
        <v>38000</v>
      </c>
      <c r="M526">
        <f t="shared" si="33"/>
        <v>28000</v>
      </c>
      <c r="N526">
        <f t="shared" si="34"/>
        <v>10000</v>
      </c>
      <c r="O526" s="2">
        <f t="shared" si="35"/>
        <v>0.26315789473684209</v>
      </c>
    </row>
    <row r="527" spans="1:15">
      <c r="A527" t="s">
        <v>940</v>
      </c>
      <c r="B527" t="s">
        <v>523</v>
      </c>
      <c r="C527" t="s">
        <v>263</v>
      </c>
      <c r="D527" t="s">
        <v>17</v>
      </c>
      <c r="E527" t="s">
        <v>179</v>
      </c>
      <c r="F527">
        <v>4</v>
      </c>
      <c r="G527">
        <v>80000</v>
      </c>
      <c r="H527" t="s">
        <v>36</v>
      </c>
      <c r="I527" t="str">
        <f>_xlfn.XLOOKUP(E527,'Products Master'!A:A,'Products Master'!B:B)</f>
        <v>Electronics</v>
      </c>
      <c r="J527">
        <f>_xlfn.XLOOKUP(E527,'Products Master'!A:A,'Products Master'!C:C)</f>
        <v>65000</v>
      </c>
      <c r="K527" t="str">
        <f>_xlfn.XLOOKUP(E527,'Products Master'!A:A,'Products Master'!D:D)</f>
        <v>Samsung</v>
      </c>
      <c r="L527">
        <f t="shared" si="32"/>
        <v>320000</v>
      </c>
      <c r="M527">
        <f t="shared" si="33"/>
        <v>260000</v>
      </c>
      <c r="N527">
        <f t="shared" si="34"/>
        <v>60000</v>
      </c>
      <c r="O527" s="2">
        <f t="shared" si="35"/>
        <v>0.1875</v>
      </c>
    </row>
    <row r="528" spans="1:15">
      <c r="A528" t="s">
        <v>941</v>
      </c>
      <c r="B528" t="s">
        <v>942</v>
      </c>
      <c r="C528" t="s">
        <v>285</v>
      </c>
      <c r="D528" t="s">
        <v>34</v>
      </c>
      <c r="E528" t="s">
        <v>49</v>
      </c>
      <c r="F528">
        <v>2</v>
      </c>
      <c r="G528">
        <v>9500</v>
      </c>
      <c r="H528" t="s">
        <v>116</v>
      </c>
      <c r="I528" t="str">
        <f>_xlfn.XLOOKUP(E528,'Products Master'!A:A,'Products Master'!B:B)</f>
        <v>Accessories</v>
      </c>
      <c r="J528">
        <f>_xlfn.XLOOKUP(E528,'Products Master'!A:A,'Products Master'!C:C)</f>
        <v>7000</v>
      </c>
      <c r="K528" t="str">
        <f>_xlfn.XLOOKUP(E528,'Products Master'!A:A,'Products Master'!D:D)</f>
        <v>Logitech</v>
      </c>
      <c r="L528">
        <f t="shared" si="32"/>
        <v>19000</v>
      </c>
      <c r="M528">
        <f t="shared" si="33"/>
        <v>14000</v>
      </c>
      <c r="N528">
        <f t="shared" si="34"/>
        <v>5000</v>
      </c>
      <c r="O528" s="2">
        <f t="shared" si="35"/>
        <v>0.26315789473684209</v>
      </c>
    </row>
    <row r="529" spans="1:15">
      <c r="A529" t="s">
        <v>943</v>
      </c>
      <c r="B529" t="s">
        <v>652</v>
      </c>
      <c r="C529" t="s">
        <v>80</v>
      </c>
      <c r="D529" t="s">
        <v>34</v>
      </c>
      <c r="E529" t="s">
        <v>124</v>
      </c>
      <c r="F529">
        <v>1</v>
      </c>
      <c r="G529">
        <v>18000</v>
      </c>
      <c r="H529" t="s">
        <v>13</v>
      </c>
      <c r="I529" t="str">
        <f>_xlfn.XLOOKUP(E529,'Products Master'!A:A,'Products Master'!B:B)</f>
        <v>Storage</v>
      </c>
      <c r="J529">
        <f>_xlfn.XLOOKUP(E529,'Products Master'!A:A,'Products Master'!C:C)</f>
        <v>12000</v>
      </c>
      <c r="K529" t="str">
        <f>_xlfn.XLOOKUP(E529,'Products Master'!A:A,'Products Master'!D:D)</f>
        <v>Kingston</v>
      </c>
      <c r="L529">
        <f t="shared" si="32"/>
        <v>18000</v>
      </c>
      <c r="M529">
        <f t="shared" si="33"/>
        <v>12000</v>
      </c>
      <c r="N529">
        <f t="shared" si="34"/>
        <v>6000</v>
      </c>
      <c r="O529" s="2">
        <f t="shared" si="35"/>
        <v>0.33333333333333331</v>
      </c>
    </row>
    <row r="530" spans="1:15">
      <c r="A530" t="s">
        <v>944</v>
      </c>
      <c r="B530" t="s">
        <v>945</v>
      </c>
      <c r="C530" t="s">
        <v>330</v>
      </c>
      <c r="D530" t="s">
        <v>29</v>
      </c>
      <c r="E530" t="s">
        <v>54</v>
      </c>
      <c r="F530">
        <v>4</v>
      </c>
      <c r="G530">
        <v>7000</v>
      </c>
      <c r="H530" t="s">
        <v>66</v>
      </c>
      <c r="I530" t="str">
        <f>_xlfn.XLOOKUP(E530,'Products Master'!A:A,'Products Master'!B:B)</f>
        <v>Accessories</v>
      </c>
      <c r="J530">
        <f>_xlfn.XLOOKUP(E530,'Products Master'!A:A,'Products Master'!C:C)</f>
        <v>5000</v>
      </c>
      <c r="K530" t="str">
        <f>_xlfn.XLOOKUP(E530,'Products Master'!A:A,'Products Master'!D:D)</f>
        <v>Sony</v>
      </c>
      <c r="L530">
        <f t="shared" si="32"/>
        <v>28000</v>
      </c>
      <c r="M530">
        <f t="shared" si="33"/>
        <v>20000</v>
      </c>
      <c r="N530">
        <f t="shared" si="34"/>
        <v>8000</v>
      </c>
      <c r="O530" s="2">
        <f t="shared" si="35"/>
        <v>0.2857142857142857</v>
      </c>
    </row>
    <row r="531" spans="1:15">
      <c r="A531" t="s">
        <v>946</v>
      </c>
      <c r="B531" t="s">
        <v>265</v>
      </c>
      <c r="C531" t="s">
        <v>403</v>
      </c>
      <c r="D531" t="s">
        <v>111</v>
      </c>
      <c r="E531" t="s">
        <v>124</v>
      </c>
      <c r="F531">
        <v>3</v>
      </c>
      <c r="G531">
        <v>18000</v>
      </c>
      <c r="H531" t="s">
        <v>116</v>
      </c>
      <c r="I531" t="str">
        <f>_xlfn.XLOOKUP(E531,'Products Master'!A:A,'Products Master'!B:B)</f>
        <v>Storage</v>
      </c>
      <c r="J531">
        <f>_xlfn.XLOOKUP(E531,'Products Master'!A:A,'Products Master'!C:C)</f>
        <v>12000</v>
      </c>
      <c r="K531" t="str">
        <f>_xlfn.XLOOKUP(E531,'Products Master'!A:A,'Products Master'!D:D)</f>
        <v>Kingston</v>
      </c>
      <c r="L531">
        <f t="shared" si="32"/>
        <v>54000</v>
      </c>
      <c r="M531">
        <f t="shared" si="33"/>
        <v>36000</v>
      </c>
      <c r="N531">
        <f t="shared" si="34"/>
        <v>18000</v>
      </c>
      <c r="O531" s="2">
        <f t="shared" si="35"/>
        <v>0.33333333333333331</v>
      </c>
    </row>
    <row r="532" spans="1:15">
      <c r="A532" t="s">
        <v>947</v>
      </c>
      <c r="B532" t="s">
        <v>948</v>
      </c>
      <c r="C532" t="s">
        <v>703</v>
      </c>
      <c r="D532" t="s">
        <v>23</v>
      </c>
      <c r="E532" t="s">
        <v>24</v>
      </c>
      <c r="F532">
        <v>5</v>
      </c>
      <c r="G532">
        <v>2500</v>
      </c>
      <c r="H532" t="s">
        <v>19</v>
      </c>
      <c r="I532" t="str">
        <f>_xlfn.XLOOKUP(E532,'Products Master'!A:A,'Products Master'!B:B)</f>
        <v>Accessories</v>
      </c>
      <c r="J532">
        <f>_xlfn.XLOOKUP(E532,'Products Master'!A:A,'Products Master'!C:C)</f>
        <v>1500</v>
      </c>
      <c r="K532" t="str">
        <f>_xlfn.XLOOKUP(E532,'Products Master'!A:A,'Products Master'!D:D)</f>
        <v>Logitech</v>
      </c>
      <c r="L532">
        <f t="shared" si="32"/>
        <v>12500</v>
      </c>
      <c r="M532">
        <f t="shared" si="33"/>
        <v>7500</v>
      </c>
      <c r="N532">
        <f t="shared" si="34"/>
        <v>5000</v>
      </c>
      <c r="O532" s="2">
        <f t="shared" si="35"/>
        <v>0.4</v>
      </c>
    </row>
    <row r="533" spans="1:15">
      <c r="A533" t="s">
        <v>949</v>
      </c>
      <c r="B533" t="s">
        <v>950</v>
      </c>
      <c r="C533" t="s">
        <v>39</v>
      </c>
      <c r="D533" t="s">
        <v>11</v>
      </c>
      <c r="E533" t="s">
        <v>49</v>
      </c>
      <c r="F533">
        <v>2</v>
      </c>
      <c r="G533">
        <v>9500</v>
      </c>
      <c r="H533" t="s">
        <v>66</v>
      </c>
      <c r="I533" t="str">
        <f>_xlfn.XLOOKUP(E533,'Products Master'!A:A,'Products Master'!B:B)</f>
        <v>Accessories</v>
      </c>
      <c r="J533">
        <f>_xlfn.XLOOKUP(E533,'Products Master'!A:A,'Products Master'!C:C)</f>
        <v>7000</v>
      </c>
      <c r="K533" t="str">
        <f>_xlfn.XLOOKUP(E533,'Products Master'!A:A,'Products Master'!D:D)</f>
        <v>Logitech</v>
      </c>
      <c r="L533">
        <f t="shared" si="32"/>
        <v>19000</v>
      </c>
      <c r="M533">
        <f t="shared" si="33"/>
        <v>14000</v>
      </c>
      <c r="N533">
        <f t="shared" si="34"/>
        <v>5000</v>
      </c>
      <c r="O533" s="2">
        <f t="shared" si="35"/>
        <v>0.26315789473684209</v>
      </c>
    </row>
    <row r="534" spans="1:15">
      <c r="A534" t="s">
        <v>951</v>
      </c>
      <c r="B534" t="s">
        <v>724</v>
      </c>
      <c r="C534" t="s">
        <v>156</v>
      </c>
      <c r="D534" t="s">
        <v>23</v>
      </c>
      <c r="E534" t="s">
        <v>12</v>
      </c>
      <c r="F534">
        <v>5</v>
      </c>
      <c r="G534">
        <v>150000</v>
      </c>
      <c r="H534" t="s">
        <v>116</v>
      </c>
      <c r="I534" t="str">
        <f>_xlfn.XLOOKUP(E534,'Products Master'!A:A,'Products Master'!B:B)</f>
        <v>Electronics</v>
      </c>
      <c r="J534">
        <f>_xlfn.XLOOKUP(E534,'Products Master'!A:A,'Products Master'!C:C)</f>
        <v>120000</v>
      </c>
      <c r="K534" t="str">
        <f>_xlfn.XLOOKUP(E534,'Products Master'!A:A,'Products Master'!D:D)</f>
        <v>Dell</v>
      </c>
      <c r="L534">
        <f t="shared" si="32"/>
        <v>750000</v>
      </c>
      <c r="M534">
        <f t="shared" si="33"/>
        <v>600000</v>
      </c>
      <c r="N534">
        <f t="shared" si="34"/>
        <v>150000</v>
      </c>
      <c r="O534" s="2">
        <f t="shared" si="35"/>
        <v>0.2</v>
      </c>
    </row>
    <row r="535" spans="1:15">
      <c r="A535" t="s">
        <v>952</v>
      </c>
      <c r="B535" t="s">
        <v>953</v>
      </c>
      <c r="C535" t="s">
        <v>57</v>
      </c>
      <c r="D535" t="s">
        <v>45</v>
      </c>
      <c r="E535" t="s">
        <v>12</v>
      </c>
      <c r="F535">
        <v>2</v>
      </c>
      <c r="G535">
        <v>150000</v>
      </c>
      <c r="H535" t="s">
        <v>19</v>
      </c>
      <c r="I535" t="str">
        <f>_xlfn.XLOOKUP(E535,'Products Master'!A:A,'Products Master'!B:B)</f>
        <v>Electronics</v>
      </c>
      <c r="J535">
        <f>_xlfn.XLOOKUP(E535,'Products Master'!A:A,'Products Master'!C:C)</f>
        <v>120000</v>
      </c>
      <c r="K535" t="str">
        <f>_xlfn.XLOOKUP(E535,'Products Master'!A:A,'Products Master'!D:D)</f>
        <v>Dell</v>
      </c>
      <c r="L535">
        <f t="shared" si="32"/>
        <v>300000</v>
      </c>
      <c r="M535">
        <f t="shared" si="33"/>
        <v>240000</v>
      </c>
      <c r="N535">
        <f t="shared" si="34"/>
        <v>60000</v>
      </c>
      <c r="O535" s="2">
        <f t="shared" si="35"/>
        <v>0.2</v>
      </c>
    </row>
    <row r="536" spans="1:15">
      <c r="A536" t="s">
        <v>954</v>
      </c>
      <c r="B536" t="s">
        <v>188</v>
      </c>
      <c r="C536" t="s">
        <v>481</v>
      </c>
      <c r="D536" t="s">
        <v>111</v>
      </c>
      <c r="E536" t="s">
        <v>18</v>
      </c>
      <c r="F536">
        <v>2</v>
      </c>
      <c r="G536">
        <v>45000</v>
      </c>
      <c r="H536" t="s">
        <v>41</v>
      </c>
      <c r="I536" t="str">
        <f>_xlfn.XLOOKUP(E536,'Products Master'!A:A,'Products Master'!B:B)</f>
        <v>Electronics</v>
      </c>
      <c r="J536">
        <f>_xlfn.XLOOKUP(E536,'Products Master'!A:A,'Products Master'!C:C)</f>
        <v>35000</v>
      </c>
      <c r="K536" t="str">
        <f>_xlfn.XLOOKUP(E536,'Products Master'!A:A,'Products Master'!D:D)</f>
        <v>HP</v>
      </c>
      <c r="L536">
        <f t="shared" si="32"/>
        <v>90000</v>
      </c>
      <c r="M536">
        <f t="shared" si="33"/>
        <v>70000</v>
      </c>
      <c r="N536">
        <f t="shared" si="34"/>
        <v>20000</v>
      </c>
      <c r="O536" s="2">
        <f t="shared" si="35"/>
        <v>0.22222222222222221</v>
      </c>
    </row>
    <row r="537" spans="1:15">
      <c r="A537" t="s">
        <v>955</v>
      </c>
      <c r="B537" t="s">
        <v>417</v>
      </c>
      <c r="C537" t="s">
        <v>731</v>
      </c>
      <c r="D537" t="s">
        <v>115</v>
      </c>
      <c r="E537" t="s">
        <v>12</v>
      </c>
      <c r="F537">
        <v>1</v>
      </c>
      <c r="G537">
        <v>150000</v>
      </c>
      <c r="H537" t="s">
        <v>50</v>
      </c>
      <c r="I537" t="str">
        <f>_xlfn.XLOOKUP(E537,'Products Master'!A:A,'Products Master'!B:B)</f>
        <v>Electronics</v>
      </c>
      <c r="J537">
        <f>_xlfn.XLOOKUP(E537,'Products Master'!A:A,'Products Master'!C:C)</f>
        <v>120000</v>
      </c>
      <c r="K537" t="str">
        <f>_xlfn.XLOOKUP(E537,'Products Master'!A:A,'Products Master'!D:D)</f>
        <v>Dell</v>
      </c>
      <c r="L537">
        <f t="shared" si="32"/>
        <v>150000</v>
      </c>
      <c r="M537">
        <f t="shared" si="33"/>
        <v>120000</v>
      </c>
      <c r="N537">
        <f t="shared" si="34"/>
        <v>30000</v>
      </c>
      <c r="O537" s="2">
        <f t="shared" si="35"/>
        <v>0.2</v>
      </c>
    </row>
    <row r="538" spans="1:15">
      <c r="A538" t="s">
        <v>956</v>
      </c>
      <c r="B538" t="s">
        <v>267</v>
      </c>
      <c r="C538" t="s">
        <v>104</v>
      </c>
      <c r="D538" t="s">
        <v>111</v>
      </c>
      <c r="E538" t="s">
        <v>12</v>
      </c>
      <c r="F538">
        <v>2</v>
      </c>
      <c r="G538">
        <v>150000</v>
      </c>
      <c r="H538" t="s">
        <v>95</v>
      </c>
      <c r="I538" t="str">
        <f>_xlfn.XLOOKUP(E538,'Products Master'!A:A,'Products Master'!B:B)</f>
        <v>Electronics</v>
      </c>
      <c r="J538">
        <f>_xlfn.XLOOKUP(E538,'Products Master'!A:A,'Products Master'!C:C)</f>
        <v>120000</v>
      </c>
      <c r="K538" t="str">
        <f>_xlfn.XLOOKUP(E538,'Products Master'!A:A,'Products Master'!D:D)</f>
        <v>Dell</v>
      </c>
      <c r="L538">
        <f t="shared" si="32"/>
        <v>300000</v>
      </c>
      <c r="M538">
        <f t="shared" si="33"/>
        <v>240000</v>
      </c>
      <c r="N538">
        <f t="shared" si="34"/>
        <v>60000</v>
      </c>
      <c r="O538" s="2">
        <f t="shared" si="35"/>
        <v>0.2</v>
      </c>
    </row>
    <row r="539" spans="1:15">
      <c r="A539" t="s">
        <v>957</v>
      </c>
      <c r="B539" t="s">
        <v>523</v>
      </c>
      <c r="C539" t="s">
        <v>212</v>
      </c>
      <c r="D539" t="s">
        <v>111</v>
      </c>
      <c r="E539" t="s">
        <v>24</v>
      </c>
      <c r="F539">
        <v>4</v>
      </c>
      <c r="G539">
        <v>2500</v>
      </c>
      <c r="H539" t="s">
        <v>66</v>
      </c>
      <c r="I539" t="str">
        <f>_xlfn.XLOOKUP(E539,'Products Master'!A:A,'Products Master'!B:B)</f>
        <v>Accessories</v>
      </c>
      <c r="J539">
        <f>_xlfn.XLOOKUP(E539,'Products Master'!A:A,'Products Master'!C:C)</f>
        <v>1500</v>
      </c>
      <c r="K539" t="str">
        <f>_xlfn.XLOOKUP(E539,'Products Master'!A:A,'Products Master'!D:D)</f>
        <v>Logitech</v>
      </c>
      <c r="L539">
        <f t="shared" si="32"/>
        <v>10000</v>
      </c>
      <c r="M539">
        <f t="shared" si="33"/>
        <v>6000</v>
      </c>
      <c r="N539">
        <f t="shared" si="34"/>
        <v>4000</v>
      </c>
      <c r="O539" s="2">
        <f t="shared" si="35"/>
        <v>0.4</v>
      </c>
    </row>
    <row r="540" spans="1:15">
      <c r="A540" t="s">
        <v>958</v>
      </c>
      <c r="B540" t="s">
        <v>565</v>
      </c>
      <c r="C540" t="s">
        <v>576</v>
      </c>
      <c r="D540" t="s">
        <v>17</v>
      </c>
      <c r="E540" t="s">
        <v>35</v>
      </c>
      <c r="F540">
        <v>2</v>
      </c>
      <c r="G540">
        <v>2000</v>
      </c>
      <c r="H540" t="s">
        <v>116</v>
      </c>
      <c r="I540" t="str">
        <f>_xlfn.XLOOKUP(E540,'Products Master'!A:A,'Products Master'!B:B)</f>
        <v>Storage</v>
      </c>
      <c r="J540">
        <f>_xlfn.XLOOKUP(E540,'Products Master'!A:A,'Products Master'!C:C)</f>
        <v>1200</v>
      </c>
      <c r="K540" t="str">
        <f>_xlfn.XLOOKUP(E540,'Products Master'!A:A,'Products Master'!D:D)</f>
        <v>SanDisk</v>
      </c>
      <c r="L540">
        <f t="shared" si="32"/>
        <v>4000</v>
      </c>
      <c r="M540">
        <f t="shared" si="33"/>
        <v>2400</v>
      </c>
      <c r="N540">
        <f t="shared" si="34"/>
        <v>1600</v>
      </c>
      <c r="O540" s="2">
        <f t="shared" si="35"/>
        <v>0.4</v>
      </c>
    </row>
    <row r="541" spans="1:15">
      <c r="A541" t="s">
        <v>959</v>
      </c>
      <c r="B541" t="s">
        <v>960</v>
      </c>
      <c r="C541" t="s">
        <v>400</v>
      </c>
      <c r="D541" t="s">
        <v>111</v>
      </c>
      <c r="E541" t="s">
        <v>99</v>
      </c>
      <c r="F541">
        <v>1</v>
      </c>
      <c r="G541">
        <v>5000</v>
      </c>
      <c r="H541" t="s">
        <v>41</v>
      </c>
      <c r="I541" t="str">
        <f>_xlfn.XLOOKUP(E541,'Products Master'!A:A,'Products Master'!B:B)</f>
        <v>Accessories</v>
      </c>
      <c r="J541">
        <f>_xlfn.XLOOKUP(E541,'Products Master'!A:A,'Products Master'!C:C)</f>
        <v>3500</v>
      </c>
      <c r="K541" t="str">
        <f>_xlfn.XLOOKUP(E541,'Products Master'!A:A,'Products Master'!D:D)</f>
        <v>Logitech</v>
      </c>
      <c r="L541">
        <f t="shared" si="32"/>
        <v>5000</v>
      </c>
      <c r="M541">
        <f t="shared" si="33"/>
        <v>3500</v>
      </c>
      <c r="N541">
        <f t="shared" si="34"/>
        <v>1500</v>
      </c>
      <c r="O541" s="2">
        <f t="shared" si="35"/>
        <v>0.3</v>
      </c>
    </row>
    <row r="542" spans="1:15">
      <c r="A542" t="s">
        <v>961</v>
      </c>
      <c r="B542" t="s">
        <v>573</v>
      </c>
      <c r="C542" t="s">
        <v>254</v>
      </c>
      <c r="D542" t="s">
        <v>17</v>
      </c>
      <c r="E542" t="s">
        <v>54</v>
      </c>
      <c r="F542">
        <v>3</v>
      </c>
      <c r="G542">
        <v>7000</v>
      </c>
      <c r="H542" t="s">
        <v>30</v>
      </c>
      <c r="I542" t="str">
        <f>_xlfn.XLOOKUP(E542,'Products Master'!A:A,'Products Master'!B:B)</f>
        <v>Accessories</v>
      </c>
      <c r="J542">
        <f>_xlfn.XLOOKUP(E542,'Products Master'!A:A,'Products Master'!C:C)</f>
        <v>5000</v>
      </c>
      <c r="K542" t="str">
        <f>_xlfn.XLOOKUP(E542,'Products Master'!A:A,'Products Master'!D:D)</f>
        <v>Sony</v>
      </c>
      <c r="L542">
        <f t="shared" si="32"/>
        <v>21000</v>
      </c>
      <c r="M542">
        <f t="shared" si="33"/>
        <v>15000</v>
      </c>
      <c r="N542">
        <f t="shared" si="34"/>
        <v>6000</v>
      </c>
      <c r="O542" s="2">
        <f t="shared" si="35"/>
        <v>0.2857142857142857</v>
      </c>
    </row>
    <row r="543" spans="1:15">
      <c r="A543" t="s">
        <v>962</v>
      </c>
      <c r="B543" t="s">
        <v>442</v>
      </c>
      <c r="C543" t="s">
        <v>536</v>
      </c>
      <c r="D543" t="s">
        <v>11</v>
      </c>
      <c r="E543" t="s">
        <v>179</v>
      </c>
      <c r="F543">
        <v>3</v>
      </c>
      <c r="G543">
        <v>80000</v>
      </c>
      <c r="H543" t="s">
        <v>41</v>
      </c>
      <c r="I543" t="str">
        <f>_xlfn.XLOOKUP(E543,'Products Master'!A:A,'Products Master'!B:B)</f>
        <v>Electronics</v>
      </c>
      <c r="J543">
        <f>_xlfn.XLOOKUP(E543,'Products Master'!A:A,'Products Master'!C:C)</f>
        <v>65000</v>
      </c>
      <c r="K543" t="str">
        <f>_xlfn.XLOOKUP(E543,'Products Master'!A:A,'Products Master'!D:D)</f>
        <v>Samsung</v>
      </c>
      <c r="L543">
        <f t="shared" si="32"/>
        <v>240000</v>
      </c>
      <c r="M543">
        <f t="shared" si="33"/>
        <v>195000</v>
      </c>
      <c r="N543">
        <f t="shared" si="34"/>
        <v>45000</v>
      </c>
      <c r="O543" s="2">
        <f t="shared" si="35"/>
        <v>0.1875</v>
      </c>
    </row>
    <row r="544" spans="1:15">
      <c r="A544" t="s">
        <v>963</v>
      </c>
      <c r="B544" t="s">
        <v>632</v>
      </c>
      <c r="C544" t="s">
        <v>152</v>
      </c>
      <c r="D544" t="s">
        <v>45</v>
      </c>
      <c r="E544" t="s">
        <v>179</v>
      </c>
      <c r="F544">
        <v>5</v>
      </c>
      <c r="G544">
        <v>80000</v>
      </c>
      <c r="H544" t="s">
        <v>25</v>
      </c>
      <c r="I544" t="str">
        <f>_xlfn.XLOOKUP(E544,'Products Master'!A:A,'Products Master'!B:B)</f>
        <v>Electronics</v>
      </c>
      <c r="J544">
        <f>_xlfn.XLOOKUP(E544,'Products Master'!A:A,'Products Master'!C:C)</f>
        <v>65000</v>
      </c>
      <c r="K544" t="str">
        <f>_xlfn.XLOOKUP(E544,'Products Master'!A:A,'Products Master'!D:D)</f>
        <v>Samsung</v>
      </c>
      <c r="L544">
        <f t="shared" si="32"/>
        <v>400000</v>
      </c>
      <c r="M544">
        <f t="shared" si="33"/>
        <v>325000</v>
      </c>
      <c r="N544">
        <f t="shared" si="34"/>
        <v>75000</v>
      </c>
      <c r="O544" s="2">
        <f t="shared" si="35"/>
        <v>0.1875</v>
      </c>
    </row>
    <row r="545" spans="1:15">
      <c r="A545" t="s">
        <v>964</v>
      </c>
      <c r="B545" t="s">
        <v>360</v>
      </c>
      <c r="C545" t="s">
        <v>337</v>
      </c>
      <c r="D545" t="s">
        <v>11</v>
      </c>
      <c r="E545" t="s">
        <v>54</v>
      </c>
      <c r="F545">
        <v>4</v>
      </c>
      <c r="G545">
        <v>7000</v>
      </c>
      <c r="H545" t="s">
        <v>30</v>
      </c>
      <c r="I545" t="str">
        <f>_xlfn.XLOOKUP(E545,'Products Master'!A:A,'Products Master'!B:B)</f>
        <v>Accessories</v>
      </c>
      <c r="J545">
        <f>_xlfn.XLOOKUP(E545,'Products Master'!A:A,'Products Master'!C:C)</f>
        <v>5000</v>
      </c>
      <c r="K545" t="str">
        <f>_xlfn.XLOOKUP(E545,'Products Master'!A:A,'Products Master'!D:D)</f>
        <v>Sony</v>
      </c>
      <c r="L545">
        <f t="shared" si="32"/>
        <v>28000</v>
      </c>
      <c r="M545">
        <f t="shared" si="33"/>
        <v>20000</v>
      </c>
      <c r="N545">
        <f t="shared" si="34"/>
        <v>8000</v>
      </c>
      <c r="O545" s="2">
        <f t="shared" si="35"/>
        <v>0.2857142857142857</v>
      </c>
    </row>
    <row r="546" spans="1:15">
      <c r="A546" t="s">
        <v>965</v>
      </c>
      <c r="B546" t="s">
        <v>182</v>
      </c>
      <c r="C546" t="s">
        <v>247</v>
      </c>
      <c r="D546" t="s">
        <v>115</v>
      </c>
      <c r="E546" t="s">
        <v>54</v>
      </c>
      <c r="F546">
        <v>4</v>
      </c>
      <c r="G546">
        <v>7000</v>
      </c>
      <c r="H546" t="s">
        <v>19</v>
      </c>
      <c r="I546" t="str">
        <f>_xlfn.XLOOKUP(E546,'Products Master'!A:A,'Products Master'!B:B)</f>
        <v>Accessories</v>
      </c>
      <c r="J546">
        <f>_xlfn.XLOOKUP(E546,'Products Master'!A:A,'Products Master'!C:C)</f>
        <v>5000</v>
      </c>
      <c r="K546" t="str">
        <f>_xlfn.XLOOKUP(E546,'Products Master'!A:A,'Products Master'!D:D)</f>
        <v>Sony</v>
      </c>
      <c r="L546">
        <f t="shared" si="32"/>
        <v>28000</v>
      </c>
      <c r="M546">
        <f t="shared" si="33"/>
        <v>20000</v>
      </c>
      <c r="N546">
        <f t="shared" si="34"/>
        <v>8000</v>
      </c>
      <c r="O546" s="2">
        <f t="shared" si="35"/>
        <v>0.2857142857142857</v>
      </c>
    </row>
    <row r="547" spans="1:15">
      <c r="A547" t="s">
        <v>966</v>
      </c>
      <c r="B547" t="s">
        <v>413</v>
      </c>
      <c r="C547" t="s">
        <v>57</v>
      </c>
      <c r="D547" t="s">
        <v>23</v>
      </c>
      <c r="E547" t="s">
        <v>40</v>
      </c>
      <c r="F547">
        <v>5</v>
      </c>
      <c r="G547">
        <v>60000</v>
      </c>
      <c r="H547" t="s">
        <v>25</v>
      </c>
      <c r="I547" t="str">
        <f>_xlfn.XLOOKUP(E547,'Products Master'!A:A,'Products Master'!B:B)</f>
        <v>Electronics</v>
      </c>
      <c r="J547">
        <f>_xlfn.XLOOKUP(E547,'Products Master'!A:A,'Products Master'!C:C)</f>
        <v>50000</v>
      </c>
      <c r="K547" t="str">
        <f>_xlfn.XLOOKUP(E547,'Products Master'!A:A,'Products Master'!D:D)</f>
        <v>LG</v>
      </c>
      <c r="L547">
        <f t="shared" si="32"/>
        <v>300000</v>
      </c>
      <c r="M547">
        <f t="shared" si="33"/>
        <v>250000</v>
      </c>
      <c r="N547">
        <f t="shared" si="34"/>
        <v>50000</v>
      </c>
      <c r="O547" s="2">
        <f t="shared" si="35"/>
        <v>0.16666666666666666</v>
      </c>
    </row>
    <row r="548" spans="1:15">
      <c r="A548" t="s">
        <v>967</v>
      </c>
      <c r="B548" t="s">
        <v>282</v>
      </c>
      <c r="C548" t="s">
        <v>69</v>
      </c>
      <c r="D548" t="s">
        <v>29</v>
      </c>
      <c r="E548" t="s">
        <v>49</v>
      </c>
      <c r="F548">
        <v>1</v>
      </c>
      <c r="G548">
        <v>9500</v>
      </c>
      <c r="H548" t="s">
        <v>41</v>
      </c>
      <c r="I548" t="str">
        <f>_xlfn.XLOOKUP(E548,'Products Master'!A:A,'Products Master'!B:B)</f>
        <v>Accessories</v>
      </c>
      <c r="J548">
        <f>_xlfn.XLOOKUP(E548,'Products Master'!A:A,'Products Master'!C:C)</f>
        <v>7000</v>
      </c>
      <c r="K548" t="str">
        <f>_xlfn.XLOOKUP(E548,'Products Master'!A:A,'Products Master'!D:D)</f>
        <v>Logitech</v>
      </c>
      <c r="L548">
        <f t="shared" si="32"/>
        <v>9500</v>
      </c>
      <c r="M548">
        <f t="shared" si="33"/>
        <v>7000</v>
      </c>
      <c r="N548">
        <f t="shared" si="34"/>
        <v>2500</v>
      </c>
      <c r="O548" s="2">
        <f t="shared" si="35"/>
        <v>0.26315789473684209</v>
      </c>
    </row>
    <row r="549" spans="1:15">
      <c r="A549" t="s">
        <v>968</v>
      </c>
      <c r="B549" t="s">
        <v>809</v>
      </c>
      <c r="C549" t="s">
        <v>16</v>
      </c>
      <c r="D549" t="s">
        <v>34</v>
      </c>
      <c r="E549" t="s">
        <v>35</v>
      </c>
      <c r="F549">
        <v>1</v>
      </c>
      <c r="G549">
        <v>2000</v>
      </c>
      <c r="H549" t="s">
        <v>36</v>
      </c>
      <c r="I549" t="str">
        <f>_xlfn.XLOOKUP(E549,'Products Master'!A:A,'Products Master'!B:B)</f>
        <v>Storage</v>
      </c>
      <c r="J549">
        <f>_xlfn.XLOOKUP(E549,'Products Master'!A:A,'Products Master'!C:C)</f>
        <v>1200</v>
      </c>
      <c r="K549" t="str">
        <f>_xlfn.XLOOKUP(E549,'Products Master'!A:A,'Products Master'!D:D)</f>
        <v>SanDisk</v>
      </c>
      <c r="L549">
        <f t="shared" si="32"/>
        <v>2000</v>
      </c>
      <c r="M549">
        <f t="shared" si="33"/>
        <v>1200</v>
      </c>
      <c r="N549">
        <f t="shared" si="34"/>
        <v>800</v>
      </c>
      <c r="O549" s="2">
        <f t="shared" si="35"/>
        <v>0.4</v>
      </c>
    </row>
    <row r="550" spans="1:15">
      <c r="A550" t="s">
        <v>969</v>
      </c>
      <c r="B550" t="s">
        <v>93</v>
      </c>
      <c r="C550" t="s">
        <v>729</v>
      </c>
      <c r="D550" t="s">
        <v>45</v>
      </c>
      <c r="E550" t="s">
        <v>35</v>
      </c>
      <c r="F550">
        <v>4</v>
      </c>
      <c r="G550">
        <v>2000</v>
      </c>
      <c r="H550" t="s">
        <v>30</v>
      </c>
      <c r="I550" t="str">
        <f>_xlfn.XLOOKUP(E550,'Products Master'!A:A,'Products Master'!B:B)</f>
        <v>Storage</v>
      </c>
      <c r="J550">
        <f>_xlfn.XLOOKUP(E550,'Products Master'!A:A,'Products Master'!C:C)</f>
        <v>1200</v>
      </c>
      <c r="K550" t="str">
        <f>_xlfn.XLOOKUP(E550,'Products Master'!A:A,'Products Master'!D:D)</f>
        <v>SanDisk</v>
      </c>
      <c r="L550">
        <f t="shared" si="32"/>
        <v>8000</v>
      </c>
      <c r="M550">
        <f t="shared" si="33"/>
        <v>4800</v>
      </c>
      <c r="N550">
        <f t="shared" si="34"/>
        <v>3200</v>
      </c>
      <c r="O550" s="2">
        <f t="shared" si="35"/>
        <v>0.4</v>
      </c>
    </row>
    <row r="551" spans="1:15">
      <c r="A551" t="s">
        <v>970</v>
      </c>
      <c r="B551" t="s">
        <v>307</v>
      </c>
      <c r="C551" t="s">
        <v>94</v>
      </c>
      <c r="D551" t="s">
        <v>45</v>
      </c>
      <c r="E551" t="s">
        <v>49</v>
      </c>
      <c r="F551">
        <v>3</v>
      </c>
      <c r="G551">
        <v>9500</v>
      </c>
      <c r="H551" t="s">
        <v>66</v>
      </c>
      <c r="I551" t="str">
        <f>_xlfn.XLOOKUP(E551,'Products Master'!A:A,'Products Master'!B:B)</f>
        <v>Accessories</v>
      </c>
      <c r="J551">
        <f>_xlfn.XLOOKUP(E551,'Products Master'!A:A,'Products Master'!C:C)</f>
        <v>7000</v>
      </c>
      <c r="K551" t="str">
        <f>_xlfn.XLOOKUP(E551,'Products Master'!A:A,'Products Master'!D:D)</f>
        <v>Logitech</v>
      </c>
      <c r="L551">
        <f t="shared" si="32"/>
        <v>28500</v>
      </c>
      <c r="M551">
        <f t="shared" si="33"/>
        <v>21000</v>
      </c>
      <c r="N551">
        <f t="shared" si="34"/>
        <v>7500</v>
      </c>
      <c r="O551" s="2">
        <f t="shared" si="35"/>
        <v>0.26315789473684209</v>
      </c>
    </row>
    <row r="552" spans="1:15">
      <c r="A552" t="s">
        <v>971</v>
      </c>
      <c r="B552" t="s">
        <v>265</v>
      </c>
      <c r="C552" t="s">
        <v>80</v>
      </c>
      <c r="D552" t="s">
        <v>45</v>
      </c>
      <c r="E552" t="s">
        <v>99</v>
      </c>
      <c r="F552">
        <v>2</v>
      </c>
      <c r="G552">
        <v>5000</v>
      </c>
      <c r="H552" t="s">
        <v>25</v>
      </c>
      <c r="I552" t="str">
        <f>_xlfn.XLOOKUP(E552,'Products Master'!A:A,'Products Master'!B:B)</f>
        <v>Accessories</v>
      </c>
      <c r="J552">
        <f>_xlfn.XLOOKUP(E552,'Products Master'!A:A,'Products Master'!C:C)</f>
        <v>3500</v>
      </c>
      <c r="K552" t="str">
        <f>_xlfn.XLOOKUP(E552,'Products Master'!A:A,'Products Master'!D:D)</f>
        <v>Logitech</v>
      </c>
      <c r="L552">
        <f t="shared" si="32"/>
        <v>10000</v>
      </c>
      <c r="M552">
        <f t="shared" si="33"/>
        <v>7000</v>
      </c>
      <c r="N552">
        <f t="shared" si="34"/>
        <v>3000</v>
      </c>
      <c r="O552" s="2">
        <f t="shared" si="35"/>
        <v>0.3</v>
      </c>
    </row>
    <row r="553" spans="1:15">
      <c r="A553" t="s">
        <v>972</v>
      </c>
      <c r="B553" t="s">
        <v>339</v>
      </c>
      <c r="C553" t="s">
        <v>288</v>
      </c>
      <c r="D553" t="s">
        <v>111</v>
      </c>
      <c r="E553" t="s">
        <v>35</v>
      </c>
      <c r="F553">
        <v>1</v>
      </c>
      <c r="G553">
        <v>2000</v>
      </c>
      <c r="H553" t="s">
        <v>66</v>
      </c>
      <c r="I553" t="str">
        <f>_xlfn.XLOOKUP(E553,'Products Master'!A:A,'Products Master'!B:B)</f>
        <v>Storage</v>
      </c>
      <c r="J553">
        <f>_xlfn.XLOOKUP(E553,'Products Master'!A:A,'Products Master'!C:C)</f>
        <v>1200</v>
      </c>
      <c r="K553" t="str">
        <f>_xlfn.XLOOKUP(E553,'Products Master'!A:A,'Products Master'!D:D)</f>
        <v>SanDisk</v>
      </c>
      <c r="L553">
        <f t="shared" si="32"/>
        <v>2000</v>
      </c>
      <c r="M553">
        <f t="shared" si="33"/>
        <v>1200</v>
      </c>
      <c r="N553">
        <f t="shared" si="34"/>
        <v>800</v>
      </c>
      <c r="O553" s="2">
        <f t="shared" si="35"/>
        <v>0.4</v>
      </c>
    </row>
    <row r="554" spans="1:15">
      <c r="A554" t="s">
        <v>973</v>
      </c>
      <c r="B554" t="s">
        <v>296</v>
      </c>
      <c r="C554" t="s">
        <v>294</v>
      </c>
      <c r="D554" t="s">
        <v>23</v>
      </c>
      <c r="E554" t="s">
        <v>40</v>
      </c>
      <c r="F554">
        <v>5</v>
      </c>
      <c r="G554">
        <v>60000</v>
      </c>
      <c r="H554" t="s">
        <v>36</v>
      </c>
      <c r="I554" t="str">
        <f>_xlfn.XLOOKUP(E554,'Products Master'!A:A,'Products Master'!B:B)</f>
        <v>Electronics</v>
      </c>
      <c r="J554">
        <f>_xlfn.XLOOKUP(E554,'Products Master'!A:A,'Products Master'!C:C)</f>
        <v>50000</v>
      </c>
      <c r="K554" t="str">
        <f>_xlfn.XLOOKUP(E554,'Products Master'!A:A,'Products Master'!D:D)</f>
        <v>LG</v>
      </c>
      <c r="L554">
        <f t="shared" si="32"/>
        <v>300000</v>
      </c>
      <c r="M554">
        <f t="shared" si="33"/>
        <v>250000</v>
      </c>
      <c r="N554">
        <f t="shared" si="34"/>
        <v>50000</v>
      </c>
      <c r="O554" s="2">
        <f t="shared" si="35"/>
        <v>0.16666666666666666</v>
      </c>
    </row>
    <row r="555" spans="1:15">
      <c r="A555" t="s">
        <v>974</v>
      </c>
      <c r="B555" t="s">
        <v>461</v>
      </c>
      <c r="C555" t="s">
        <v>74</v>
      </c>
      <c r="D555" t="s">
        <v>34</v>
      </c>
      <c r="E555" t="s">
        <v>18</v>
      </c>
      <c r="F555">
        <v>5</v>
      </c>
      <c r="G555">
        <v>45000</v>
      </c>
      <c r="H555" t="s">
        <v>66</v>
      </c>
      <c r="I555" t="str">
        <f>_xlfn.XLOOKUP(E555,'Products Master'!A:A,'Products Master'!B:B)</f>
        <v>Electronics</v>
      </c>
      <c r="J555">
        <f>_xlfn.XLOOKUP(E555,'Products Master'!A:A,'Products Master'!C:C)</f>
        <v>35000</v>
      </c>
      <c r="K555" t="str">
        <f>_xlfn.XLOOKUP(E555,'Products Master'!A:A,'Products Master'!D:D)</f>
        <v>HP</v>
      </c>
      <c r="L555">
        <f t="shared" si="32"/>
        <v>225000</v>
      </c>
      <c r="M555">
        <f t="shared" si="33"/>
        <v>175000</v>
      </c>
      <c r="N555">
        <f t="shared" si="34"/>
        <v>50000</v>
      </c>
      <c r="O555" s="2">
        <f t="shared" si="35"/>
        <v>0.22222222222222221</v>
      </c>
    </row>
    <row r="556" spans="1:15">
      <c r="A556" t="s">
        <v>975</v>
      </c>
      <c r="B556" t="s">
        <v>976</v>
      </c>
      <c r="C556" t="s">
        <v>299</v>
      </c>
      <c r="D556" t="s">
        <v>29</v>
      </c>
      <c r="E556" t="s">
        <v>179</v>
      </c>
      <c r="F556">
        <v>4</v>
      </c>
      <c r="G556">
        <v>80000</v>
      </c>
      <c r="H556" t="s">
        <v>36</v>
      </c>
      <c r="I556" t="str">
        <f>_xlfn.XLOOKUP(E556,'Products Master'!A:A,'Products Master'!B:B)</f>
        <v>Electronics</v>
      </c>
      <c r="J556">
        <f>_xlfn.XLOOKUP(E556,'Products Master'!A:A,'Products Master'!C:C)</f>
        <v>65000</v>
      </c>
      <c r="K556" t="str">
        <f>_xlfn.XLOOKUP(E556,'Products Master'!A:A,'Products Master'!D:D)</f>
        <v>Samsung</v>
      </c>
      <c r="L556">
        <f t="shared" si="32"/>
        <v>320000</v>
      </c>
      <c r="M556">
        <f t="shared" si="33"/>
        <v>260000</v>
      </c>
      <c r="N556">
        <f t="shared" si="34"/>
        <v>60000</v>
      </c>
      <c r="O556" s="2">
        <f t="shared" si="35"/>
        <v>0.1875</v>
      </c>
    </row>
    <row r="557" spans="1:15">
      <c r="A557" t="s">
        <v>977</v>
      </c>
      <c r="B557" t="s">
        <v>191</v>
      </c>
      <c r="C557" t="s">
        <v>88</v>
      </c>
      <c r="D557" t="s">
        <v>29</v>
      </c>
      <c r="E557" t="s">
        <v>12</v>
      </c>
      <c r="F557">
        <v>4</v>
      </c>
      <c r="G557">
        <v>150000</v>
      </c>
      <c r="H557" t="s">
        <v>41</v>
      </c>
      <c r="I557" t="str">
        <f>_xlfn.XLOOKUP(E557,'Products Master'!A:A,'Products Master'!B:B)</f>
        <v>Electronics</v>
      </c>
      <c r="J557">
        <f>_xlfn.XLOOKUP(E557,'Products Master'!A:A,'Products Master'!C:C)</f>
        <v>120000</v>
      </c>
      <c r="K557" t="str">
        <f>_xlfn.XLOOKUP(E557,'Products Master'!A:A,'Products Master'!D:D)</f>
        <v>Dell</v>
      </c>
      <c r="L557">
        <f t="shared" si="32"/>
        <v>600000</v>
      </c>
      <c r="M557">
        <f t="shared" si="33"/>
        <v>480000</v>
      </c>
      <c r="N557">
        <f t="shared" si="34"/>
        <v>120000</v>
      </c>
      <c r="O557" s="2">
        <f t="shared" si="35"/>
        <v>0.2</v>
      </c>
    </row>
    <row r="558" spans="1:15">
      <c r="A558" t="s">
        <v>978</v>
      </c>
      <c r="B558" t="s">
        <v>136</v>
      </c>
      <c r="C558" t="s">
        <v>101</v>
      </c>
      <c r="D558" t="s">
        <v>111</v>
      </c>
      <c r="E558" t="s">
        <v>99</v>
      </c>
      <c r="F558">
        <v>1</v>
      </c>
      <c r="G558">
        <v>5000</v>
      </c>
      <c r="H558" t="s">
        <v>116</v>
      </c>
      <c r="I558" t="str">
        <f>_xlfn.XLOOKUP(E558,'Products Master'!A:A,'Products Master'!B:B)</f>
        <v>Accessories</v>
      </c>
      <c r="J558">
        <f>_xlfn.XLOOKUP(E558,'Products Master'!A:A,'Products Master'!C:C)</f>
        <v>3500</v>
      </c>
      <c r="K558" t="str">
        <f>_xlfn.XLOOKUP(E558,'Products Master'!A:A,'Products Master'!D:D)</f>
        <v>Logitech</v>
      </c>
      <c r="L558">
        <f t="shared" si="32"/>
        <v>5000</v>
      </c>
      <c r="M558">
        <f t="shared" si="33"/>
        <v>3500</v>
      </c>
      <c r="N558">
        <f t="shared" si="34"/>
        <v>1500</v>
      </c>
      <c r="O558" s="2">
        <f t="shared" si="35"/>
        <v>0.3</v>
      </c>
    </row>
    <row r="559" spans="1:15">
      <c r="A559" t="s">
        <v>979</v>
      </c>
      <c r="B559" t="s">
        <v>980</v>
      </c>
      <c r="C559" t="s">
        <v>88</v>
      </c>
      <c r="D559" t="s">
        <v>17</v>
      </c>
      <c r="E559" t="s">
        <v>35</v>
      </c>
      <c r="F559">
        <v>1</v>
      </c>
      <c r="G559">
        <v>2000</v>
      </c>
      <c r="H559" t="s">
        <v>116</v>
      </c>
      <c r="I559" t="str">
        <f>_xlfn.XLOOKUP(E559,'Products Master'!A:A,'Products Master'!B:B)</f>
        <v>Storage</v>
      </c>
      <c r="J559">
        <f>_xlfn.XLOOKUP(E559,'Products Master'!A:A,'Products Master'!C:C)</f>
        <v>1200</v>
      </c>
      <c r="K559" t="str">
        <f>_xlfn.XLOOKUP(E559,'Products Master'!A:A,'Products Master'!D:D)</f>
        <v>SanDisk</v>
      </c>
      <c r="L559">
        <f t="shared" si="32"/>
        <v>2000</v>
      </c>
      <c r="M559">
        <f t="shared" si="33"/>
        <v>1200</v>
      </c>
      <c r="N559">
        <f t="shared" si="34"/>
        <v>800</v>
      </c>
      <c r="O559" s="2">
        <f t="shared" si="35"/>
        <v>0.4</v>
      </c>
    </row>
    <row r="560" spans="1:15">
      <c r="A560" t="s">
        <v>981</v>
      </c>
      <c r="B560" t="s">
        <v>273</v>
      </c>
      <c r="C560" t="s">
        <v>432</v>
      </c>
      <c r="D560" t="s">
        <v>45</v>
      </c>
      <c r="E560" t="s">
        <v>24</v>
      </c>
      <c r="F560">
        <v>3</v>
      </c>
      <c r="G560">
        <v>2500</v>
      </c>
      <c r="H560" t="s">
        <v>30</v>
      </c>
      <c r="I560" t="str">
        <f>_xlfn.XLOOKUP(E560,'Products Master'!A:A,'Products Master'!B:B)</f>
        <v>Accessories</v>
      </c>
      <c r="J560">
        <f>_xlfn.XLOOKUP(E560,'Products Master'!A:A,'Products Master'!C:C)</f>
        <v>1500</v>
      </c>
      <c r="K560" t="str">
        <f>_xlfn.XLOOKUP(E560,'Products Master'!A:A,'Products Master'!D:D)</f>
        <v>Logitech</v>
      </c>
      <c r="L560">
        <f t="shared" si="32"/>
        <v>7500</v>
      </c>
      <c r="M560">
        <f t="shared" si="33"/>
        <v>4500</v>
      </c>
      <c r="N560">
        <f t="shared" si="34"/>
        <v>3000</v>
      </c>
      <c r="O560" s="2">
        <f t="shared" si="35"/>
        <v>0.4</v>
      </c>
    </row>
    <row r="561" spans="1:15">
      <c r="A561" t="s">
        <v>982</v>
      </c>
      <c r="B561" t="s">
        <v>393</v>
      </c>
      <c r="C561" t="s">
        <v>247</v>
      </c>
      <c r="D561" t="s">
        <v>34</v>
      </c>
      <c r="E561" t="s">
        <v>124</v>
      </c>
      <c r="F561">
        <v>5</v>
      </c>
      <c r="G561">
        <v>18000</v>
      </c>
      <c r="H561" t="s">
        <v>19</v>
      </c>
      <c r="I561" t="str">
        <f>_xlfn.XLOOKUP(E561,'Products Master'!A:A,'Products Master'!B:B)</f>
        <v>Storage</v>
      </c>
      <c r="J561">
        <f>_xlfn.XLOOKUP(E561,'Products Master'!A:A,'Products Master'!C:C)</f>
        <v>12000</v>
      </c>
      <c r="K561" t="str">
        <f>_xlfn.XLOOKUP(E561,'Products Master'!A:A,'Products Master'!D:D)</f>
        <v>Kingston</v>
      </c>
      <c r="L561">
        <f t="shared" si="32"/>
        <v>90000</v>
      </c>
      <c r="M561">
        <f t="shared" si="33"/>
        <v>60000</v>
      </c>
      <c r="N561">
        <f t="shared" si="34"/>
        <v>30000</v>
      </c>
      <c r="O561" s="2">
        <f t="shared" si="35"/>
        <v>0.33333333333333331</v>
      </c>
    </row>
    <row r="562" spans="1:15">
      <c r="A562" t="s">
        <v>983</v>
      </c>
      <c r="B562" t="s">
        <v>358</v>
      </c>
      <c r="C562" t="s">
        <v>63</v>
      </c>
      <c r="D562" t="s">
        <v>23</v>
      </c>
      <c r="E562" t="s">
        <v>54</v>
      </c>
      <c r="F562">
        <v>5</v>
      </c>
      <c r="G562">
        <v>7000</v>
      </c>
      <c r="H562" t="s">
        <v>25</v>
      </c>
      <c r="I562" t="str">
        <f>_xlfn.XLOOKUP(E562,'Products Master'!A:A,'Products Master'!B:B)</f>
        <v>Accessories</v>
      </c>
      <c r="J562">
        <f>_xlfn.XLOOKUP(E562,'Products Master'!A:A,'Products Master'!C:C)</f>
        <v>5000</v>
      </c>
      <c r="K562" t="str">
        <f>_xlfn.XLOOKUP(E562,'Products Master'!A:A,'Products Master'!D:D)</f>
        <v>Sony</v>
      </c>
      <c r="L562">
        <f t="shared" si="32"/>
        <v>35000</v>
      </c>
      <c r="M562">
        <f t="shared" si="33"/>
        <v>25000</v>
      </c>
      <c r="N562">
        <f t="shared" si="34"/>
        <v>10000</v>
      </c>
      <c r="O562" s="2">
        <f t="shared" si="35"/>
        <v>0.2857142857142857</v>
      </c>
    </row>
    <row r="563" spans="1:15">
      <c r="A563" t="s">
        <v>984</v>
      </c>
      <c r="B563" t="s">
        <v>76</v>
      </c>
      <c r="C563" t="s">
        <v>91</v>
      </c>
      <c r="D563" t="s">
        <v>17</v>
      </c>
      <c r="E563" t="s">
        <v>124</v>
      </c>
      <c r="F563">
        <v>3</v>
      </c>
      <c r="G563">
        <v>18000</v>
      </c>
      <c r="H563" t="s">
        <v>30</v>
      </c>
      <c r="I563" t="str">
        <f>_xlfn.XLOOKUP(E563,'Products Master'!A:A,'Products Master'!B:B)</f>
        <v>Storage</v>
      </c>
      <c r="J563">
        <f>_xlfn.XLOOKUP(E563,'Products Master'!A:A,'Products Master'!C:C)</f>
        <v>12000</v>
      </c>
      <c r="K563" t="str">
        <f>_xlfn.XLOOKUP(E563,'Products Master'!A:A,'Products Master'!D:D)</f>
        <v>Kingston</v>
      </c>
      <c r="L563">
        <f t="shared" si="32"/>
        <v>54000</v>
      </c>
      <c r="M563">
        <f t="shared" si="33"/>
        <v>36000</v>
      </c>
      <c r="N563">
        <f t="shared" si="34"/>
        <v>18000</v>
      </c>
      <c r="O563" s="2">
        <f t="shared" si="35"/>
        <v>0.33333333333333331</v>
      </c>
    </row>
    <row r="564" spans="1:15">
      <c r="A564" t="s">
        <v>985</v>
      </c>
      <c r="B564" t="s">
        <v>747</v>
      </c>
      <c r="C564" t="s">
        <v>137</v>
      </c>
      <c r="D564" t="s">
        <v>111</v>
      </c>
      <c r="E564" t="s">
        <v>99</v>
      </c>
      <c r="F564">
        <v>1</v>
      </c>
      <c r="G564">
        <v>5000</v>
      </c>
      <c r="H564" t="s">
        <v>36</v>
      </c>
      <c r="I564" t="str">
        <f>_xlfn.XLOOKUP(E564,'Products Master'!A:A,'Products Master'!B:B)</f>
        <v>Accessories</v>
      </c>
      <c r="J564">
        <f>_xlfn.XLOOKUP(E564,'Products Master'!A:A,'Products Master'!C:C)</f>
        <v>3500</v>
      </c>
      <c r="K564" t="str">
        <f>_xlfn.XLOOKUP(E564,'Products Master'!A:A,'Products Master'!D:D)</f>
        <v>Logitech</v>
      </c>
      <c r="L564">
        <f t="shared" si="32"/>
        <v>5000</v>
      </c>
      <c r="M564">
        <f t="shared" si="33"/>
        <v>3500</v>
      </c>
      <c r="N564">
        <f t="shared" si="34"/>
        <v>1500</v>
      </c>
      <c r="O564" s="2">
        <f t="shared" si="35"/>
        <v>0.3</v>
      </c>
    </row>
    <row r="565" spans="1:15">
      <c r="A565" t="s">
        <v>986</v>
      </c>
      <c r="B565" t="s">
        <v>273</v>
      </c>
      <c r="C565" t="s">
        <v>299</v>
      </c>
      <c r="D565" t="s">
        <v>29</v>
      </c>
      <c r="E565" t="s">
        <v>18</v>
      </c>
      <c r="F565">
        <v>3</v>
      </c>
      <c r="G565">
        <v>45000</v>
      </c>
      <c r="H565" t="s">
        <v>25</v>
      </c>
      <c r="I565" t="str">
        <f>_xlfn.XLOOKUP(E565,'Products Master'!A:A,'Products Master'!B:B)</f>
        <v>Electronics</v>
      </c>
      <c r="J565">
        <f>_xlfn.XLOOKUP(E565,'Products Master'!A:A,'Products Master'!C:C)</f>
        <v>35000</v>
      </c>
      <c r="K565" t="str">
        <f>_xlfn.XLOOKUP(E565,'Products Master'!A:A,'Products Master'!D:D)</f>
        <v>HP</v>
      </c>
      <c r="L565">
        <f t="shared" si="32"/>
        <v>135000</v>
      </c>
      <c r="M565">
        <f t="shared" si="33"/>
        <v>105000</v>
      </c>
      <c r="N565">
        <f t="shared" si="34"/>
        <v>30000</v>
      </c>
      <c r="O565" s="2">
        <f t="shared" si="35"/>
        <v>0.22222222222222221</v>
      </c>
    </row>
    <row r="566" spans="1:15">
      <c r="A566" t="s">
        <v>987</v>
      </c>
      <c r="B566" t="s">
        <v>685</v>
      </c>
      <c r="C566" t="s">
        <v>422</v>
      </c>
      <c r="D566" t="s">
        <v>111</v>
      </c>
      <c r="E566" t="s">
        <v>54</v>
      </c>
      <c r="F566">
        <v>3</v>
      </c>
      <c r="G566">
        <v>7000</v>
      </c>
      <c r="H566" t="s">
        <v>116</v>
      </c>
      <c r="I566" t="str">
        <f>_xlfn.XLOOKUP(E566,'Products Master'!A:A,'Products Master'!B:B)</f>
        <v>Accessories</v>
      </c>
      <c r="J566">
        <f>_xlfn.XLOOKUP(E566,'Products Master'!A:A,'Products Master'!C:C)</f>
        <v>5000</v>
      </c>
      <c r="K566" t="str">
        <f>_xlfn.XLOOKUP(E566,'Products Master'!A:A,'Products Master'!D:D)</f>
        <v>Sony</v>
      </c>
      <c r="L566">
        <f t="shared" si="32"/>
        <v>21000</v>
      </c>
      <c r="M566">
        <f t="shared" si="33"/>
        <v>15000</v>
      </c>
      <c r="N566">
        <f t="shared" si="34"/>
        <v>6000</v>
      </c>
      <c r="O566" s="2">
        <f t="shared" si="35"/>
        <v>0.2857142857142857</v>
      </c>
    </row>
    <row r="567" spans="1:15">
      <c r="A567" t="s">
        <v>988</v>
      </c>
      <c r="B567" t="s">
        <v>641</v>
      </c>
      <c r="C567" t="s">
        <v>63</v>
      </c>
      <c r="D567" t="s">
        <v>17</v>
      </c>
      <c r="E567" t="s">
        <v>24</v>
      </c>
      <c r="F567">
        <v>1</v>
      </c>
      <c r="G567">
        <v>2500</v>
      </c>
      <c r="H567" t="s">
        <v>36</v>
      </c>
      <c r="I567" t="str">
        <f>_xlfn.XLOOKUP(E567,'Products Master'!A:A,'Products Master'!B:B)</f>
        <v>Accessories</v>
      </c>
      <c r="J567">
        <f>_xlfn.XLOOKUP(E567,'Products Master'!A:A,'Products Master'!C:C)</f>
        <v>1500</v>
      </c>
      <c r="K567" t="str">
        <f>_xlfn.XLOOKUP(E567,'Products Master'!A:A,'Products Master'!D:D)</f>
        <v>Logitech</v>
      </c>
      <c r="L567">
        <f t="shared" si="32"/>
        <v>2500</v>
      </c>
      <c r="M567">
        <f t="shared" si="33"/>
        <v>1500</v>
      </c>
      <c r="N567">
        <f t="shared" si="34"/>
        <v>1000</v>
      </c>
      <c r="O567" s="2">
        <f t="shared" si="35"/>
        <v>0.4</v>
      </c>
    </row>
    <row r="568" spans="1:15">
      <c r="A568" t="s">
        <v>989</v>
      </c>
      <c r="B568" t="s">
        <v>166</v>
      </c>
      <c r="C568" t="s">
        <v>80</v>
      </c>
      <c r="D568" t="s">
        <v>34</v>
      </c>
      <c r="E568" t="s">
        <v>54</v>
      </c>
      <c r="F568">
        <v>4</v>
      </c>
      <c r="G568">
        <v>7000</v>
      </c>
      <c r="H568" t="s">
        <v>25</v>
      </c>
      <c r="I568" t="str">
        <f>_xlfn.XLOOKUP(E568,'Products Master'!A:A,'Products Master'!B:B)</f>
        <v>Accessories</v>
      </c>
      <c r="J568">
        <f>_xlfn.XLOOKUP(E568,'Products Master'!A:A,'Products Master'!C:C)</f>
        <v>5000</v>
      </c>
      <c r="K568" t="str">
        <f>_xlfn.XLOOKUP(E568,'Products Master'!A:A,'Products Master'!D:D)</f>
        <v>Sony</v>
      </c>
      <c r="L568">
        <f t="shared" si="32"/>
        <v>28000</v>
      </c>
      <c r="M568">
        <f t="shared" si="33"/>
        <v>20000</v>
      </c>
      <c r="N568">
        <f t="shared" si="34"/>
        <v>8000</v>
      </c>
      <c r="O568" s="2">
        <f t="shared" si="35"/>
        <v>0.2857142857142857</v>
      </c>
    </row>
    <row r="569" spans="1:15">
      <c r="A569" t="s">
        <v>990</v>
      </c>
      <c r="B569" t="s">
        <v>444</v>
      </c>
      <c r="C569" t="s">
        <v>742</v>
      </c>
      <c r="D569" t="s">
        <v>45</v>
      </c>
      <c r="E569" t="s">
        <v>40</v>
      </c>
      <c r="F569">
        <v>2</v>
      </c>
      <c r="G569">
        <v>60000</v>
      </c>
      <c r="H569" t="s">
        <v>13</v>
      </c>
      <c r="I569" t="str">
        <f>_xlfn.XLOOKUP(E569,'Products Master'!A:A,'Products Master'!B:B)</f>
        <v>Electronics</v>
      </c>
      <c r="J569">
        <f>_xlfn.XLOOKUP(E569,'Products Master'!A:A,'Products Master'!C:C)</f>
        <v>50000</v>
      </c>
      <c r="K569" t="str">
        <f>_xlfn.XLOOKUP(E569,'Products Master'!A:A,'Products Master'!D:D)</f>
        <v>LG</v>
      </c>
      <c r="L569">
        <f t="shared" si="32"/>
        <v>120000</v>
      </c>
      <c r="M569">
        <f t="shared" si="33"/>
        <v>100000</v>
      </c>
      <c r="N569">
        <f t="shared" si="34"/>
        <v>20000</v>
      </c>
      <c r="O569" s="2">
        <f t="shared" si="35"/>
        <v>0.16666666666666666</v>
      </c>
    </row>
    <row r="570" spans="1:15">
      <c r="A570" t="s">
        <v>991</v>
      </c>
      <c r="B570" t="s">
        <v>702</v>
      </c>
      <c r="C570" t="s">
        <v>114</v>
      </c>
      <c r="D570" t="s">
        <v>11</v>
      </c>
      <c r="E570" t="s">
        <v>99</v>
      </c>
      <c r="F570">
        <v>5</v>
      </c>
      <c r="G570">
        <v>5000</v>
      </c>
      <c r="H570" t="s">
        <v>36</v>
      </c>
      <c r="I570" t="str">
        <f>_xlfn.XLOOKUP(E570,'Products Master'!A:A,'Products Master'!B:B)</f>
        <v>Accessories</v>
      </c>
      <c r="J570">
        <f>_xlfn.XLOOKUP(E570,'Products Master'!A:A,'Products Master'!C:C)</f>
        <v>3500</v>
      </c>
      <c r="K570" t="str">
        <f>_xlfn.XLOOKUP(E570,'Products Master'!A:A,'Products Master'!D:D)</f>
        <v>Logitech</v>
      </c>
      <c r="L570">
        <f t="shared" si="32"/>
        <v>25000</v>
      </c>
      <c r="M570">
        <f t="shared" si="33"/>
        <v>17500</v>
      </c>
      <c r="N570">
        <f t="shared" si="34"/>
        <v>7500</v>
      </c>
      <c r="O570" s="2">
        <f t="shared" si="35"/>
        <v>0.3</v>
      </c>
    </row>
    <row r="571" spans="1:15">
      <c r="A571" t="s">
        <v>992</v>
      </c>
      <c r="B571" t="s">
        <v>169</v>
      </c>
      <c r="C571" t="s">
        <v>842</v>
      </c>
      <c r="D571" t="s">
        <v>111</v>
      </c>
      <c r="E571" t="s">
        <v>179</v>
      </c>
      <c r="F571">
        <v>1</v>
      </c>
      <c r="G571">
        <v>80000</v>
      </c>
      <c r="H571" t="s">
        <v>25</v>
      </c>
      <c r="I571" t="str">
        <f>_xlfn.XLOOKUP(E571,'Products Master'!A:A,'Products Master'!B:B)</f>
        <v>Electronics</v>
      </c>
      <c r="J571">
        <f>_xlfn.XLOOKUP(E571,'Products Master'!A:A,'Products Master'!C:C)</f>
        <v>65000</v>
      </c>
      <c r="K571" t="str">
        <f>_xlfn.XLOOKUP(E571,'Products Master'!A:A,'Products Master'!D:D)</f>
        <v>Samsung</v>
      </c>
      <c r="L571">
        <f t="shared" si="32"/>
        <v>80000</v>
      </c>
      <c r="M571">
        <f t="shared" si="33"/>
        <v>65000</v>
      </c>
      <c r="N571">
        <f t="shared" si="34"/>
        <v>15000</v>
      </c>
      <c r="O571" s="2">
        <f t="shared" si="35"/>
        <v>0.1875</v>
      </c>
    </row>
    <row r="572" spans="1:15">
      <c r="A572" t="s">
        <v>993</v>
      </c>
      <c r="B572" t="s">
        <v>994</v>
      </c>
      <c r="C572" t="s">
        <v>831</v>
      </c>
      <c r="D572" t="s">
        <v>11</v>
      </c>
      <c r="E572" t="s">
        <v>40</v>
      </c>
      <c r="F572">
        <v>4</v>
      </c>
      <c r="G572">
        <v>60000</v>
      </c>
      <c r="H572" t="s">
        <v>41</v>
      </c>
      <c r="I572" t="str">
        <f>_xlfn.XLOOKUP(E572,'Products Master'!A:A,'Products Master'!B:B)</f>
        <v>Electronics</v>
      </c>
      <c r="J572">
        <f>_xlfn.XLOOKUP(E572,'Products Master'!A:A,'Products Master'!C:C)</f>
        <v>50000</v>
      </c>
      <c r="K572" t="str">
        <f>_xlfn.XLOOKUP(E572,'Products Master'!A:A,'Products Master'!D:D)</f>
        <v>LG</v>
      </c>
      <c r="L572">
        <f t="shared" si="32"/>
        <v>240000</v>
      </c>
      <c r="M572">
        <f t="shared" si="33"/>
        <v>200000</v>
      </c>
      <c r="N572">
        <f t="shared" si="34"/>
        <v>40000</v>
      </c>
      <c r="O572" s="2">
        <f t="shared" si="35"/>
        <v>0.16666666666666666</v>
      </c>
    </row>
    <row r="573" spans="1:15">
      <c r="A573" t="s">
        <v>995</v>
      </c>
      <c r="B573" t="s">
        <v>802</v>
      </c>
      <c r="C573" t="s">
        <v>186</v>
      </c>
      <c r="D573" t="s">
        <v>45</v>
      </c>
      <c r="E573" t="s">
        <v>99</v>
      </c>
      <c r="F573">
        <v>2</v>
      </c>
      <c r="G573">
        <v>5000</v>
      </c>
      <c r="H573" t="s">
        <v>66</v>
      </c>
      <c r="I573" t="str">
        <f>_xlfn.XLOOKUP(E573,'Products Master'!A:A,'Products Master'!B:B)</f>
        <v>Accessories</v>
      </c>
      <c r="J573">
        <f>_xlfn.XLOOKUP(E573,'Products Master'!A:A,'Products Master'!C:C)</f>
        <v>3500</v>
      </c>
      <c r="K573" t="str">
        <f>_xlfn.XLOOKUP(E573,'Products Master'!A:A,'Products Master'!D:D)</f>
        <v>Logitech</v>
      </c>
      <c r="L573">
        <f t="shared" si="32"/>
        <v>10000</v>
      </c>
      <c r="M573">
        <f t="shared" si="33"/>
        <v>7000</v>
      </c>
      <c r="N573">
        <f t="shared" si="34"/>
        <v>3000</v>
      </c>
      <c r="O573" s="2">
        <f t="shared" si="35"/>
        <v>0.3</v>
      </c>
    </row>
    <row r="574" spans="1:15">
      <c r="A574" t="s">
        <v>996</v>
      </c>
      <c r="B574" t="s">
        <v>885</v>
      </c>
      <c r="C574" t="s">
        <v>432</v>
      </c>
      <c r="D574" t="s">
        <v>115</v>
      </c>
      <c r="E574" t="s">
        <v>49</v>
      </c>
      <c r="F574">
        <v>3</v>
      </c>
      <c r="G574">
        <v>9500</v>
      </c>
      <c r="H574" t="s">
        <v>41</v>
      </c>
      <c r="I574" t="str">
        <f>_xlfn.XLOOKUP(E574,'Products Master'!A:A,'Products Master'!B:B)</f>
        <v>Accessories</v>
      </c>
      <c r="J574">
        <f>_xlfn.XLOOKUP(E574,'Products Master'!A:A,'Products Master'!C:C)</f>
        <v>7000</v>
      </c>
      <c r="K574" t="str">
        <f>_xlfn.XLOOKUP(E574,'Products Master'!A:A,'Products Master'!D:D)</f>
        <v>Logitech</v>
      </c>
      <c r="L574">
        <f t="shared" si="32"/>
        <v>28500</v>
      </c>
      <c r="M574">
        <f t="shared" si="33"/>
        <v>21000</v>
      </c>
      <c r="N574">
        <f t="shared" si="34"/>
        <v>7500</v>
      </c>
      <c r="O574" s="2">
        <f t="shared" si="35"/>
        <v>0.26315789473684209</v>
      </c>
    </row>
    <row r="575" spans="1:15">
      <c r="A575" t="s">
        <v>997</v>
      </c>
      <c r="B575" t="s">
        <v>208</v>
      </c>
      <c r="C575" t="s">
        <v>134</v>
      </c>
      <c r="D575" t="s">
        <v>11</v>
      </c>
      <c r="E575" t="s">
        <v>99</v>
      </c>
      <c r="F575">
        <v>4</v>
      </c>
      <c r="G575">
        <v>5000</v>
      </c>
      <c r="H575" t="s">
        <v>25</v>
      </c>
      <c r="I575" t="str">
        <f>_xlfn.XLOOKUP(E575,'Products Master'!A:A,'Products Master'!B:B)</f>
        <v>Accessories</v>
      </c>
      <c r="J575">
        <f>_xlfn.XLOOKUP(E575,'Products Master'!A:A,'Products Master'!C:C)</f>
        <v>3500</v>
      </c>
      <c r="K575" t="str">
        <f>_xlfn.XLOOKUP(E575,'Products Master'!A:A,'Products Master'!D:D)</f>
        <v>Logitech</v>
      </c>
      <c r="L575">
        <f t="shared" si="32"/>
        <v>20000</v>
      </c>
      <c r="M575">
        <f t="shared" si="33"/>
        <v>14000</v>
      </c>
      <c r="N575">
        <f t="shared" si="34"/>
        <v>6000</v>
      </c>
      <c r="O575" s="2">
        <f t="shared" si="35"/>
        <v>0.3</v>
      </c>
    </row>
    <row r="576" spans="1:15">
      <c r="A576" t="s">
        <v>998</v>
      </c>
      <c r="B576" t="s">
        <v>495</v>
      </c>
      <c r="C576" t="s">
        <v>375</v>
      </c>
      <c r="D576" t="s">
        <v>115</v>
      </c>
      <c r="E576" t="s">
        <v>124</v>
      </c>
      <c r="F576">
        <v>5</v>
      </c>
      <c r="G576">
        <v>18000</v>
      </c>
      <c r="H576" t="s">
        <v>13</v>
      </c>
      <c r="I576" t="str">
        <f>_xlfn.XLOOKUP(E576,'Products Master'!A:A,'Products Master'!B:B)</f>
        <v>Storage</v>
      </c>
      <c r="J576">
        <f>_xlfn.XLOOKUP(E576,'Products Master'!A:A,'Products Master'!C:C)</f>
        <v>12000</v>
      </c>
      <c r="K576" t="str">
        <f>_xlfn.XLOOKUP(E576,'Products Master'!A:A,'Products Master'!D:D)</f>
        <v>Kingston</v>
      </c>
      <c r="L576">
        <f t="shared" si="32"/>
        <v>90000</v>
      </c>
      <c r="M576">
        <f t="shared" si="33"/>
        <v>60000</v>
      </c>
      <c r="N576">
        <f t="shared" si="34"/>
        <v>30000</v>
      </c>
      <c r="O576" s="2">
        <f t="shared" si="35"/>
        <v>0.33333333333333331</v>
      </c>
    </row>
    <row r="577" spans="1:15">
      <c r="A577" t="s">
        <v>999</v>
      </c>
      <c r="B577" t="s">
        <v>71</v>
      </c>
      <c r="C577" t="s">
        <v>502</v>
      </c>
      <c r="D577" t="s">
        <v>115</v>
      </c>
      <c r="E577" t="s">
        <v>40</v>
      </c>
      <c r="F577">
        <v>2</v>
      </c>
      <c r="G577">
        <v>60000</v>
      </c>
      <c r="H577" t="s">
        <v>36</v>
      </c>
      <c r="I577" t="str">
        <f>_xlfn.XLOOKUP(E577,'Products Master'!A:A,'Products Master'!B:B)</f>
        <v>Electronics</v>
      </c>
      <c r="J577">
        <f>_xlfn.XLOOKUP(E577,'Products Master'!A:A,'Products Master'!C:C)</f>
        <v>50000</v>
      </c>
      <c r="K577" t="str">
        <f>_xlfn.XLOOKUP(E577,'Products Master'!A:A,'Products Master'!D:D)</f>
        <v>LG</v>
      </c>
      <c r="L577">
        <f t="shared" si="32"/>
        <v>120000</v>
      </c>
      <c r="M577">
        <f t="shared" si="33"/>
        <v>100000</v>
      </c>
      <c r="N577">
        <f t="shared" si="34"/>
        <v>20000</v>
      </c>
      <c r="O577" s="2">
        <f t="shared" si="35"/>
        <v>0.16666666666666666</v>
      </c>
    </row>
    <row r="578" spans="1:15">
      <c r="A578" t="s">
        <v>1000</v>
      </c>
      <c r="B578" t="s">
        <v>76</v>
      </c>
      <c r="C578" t="s">
        <v>476</v>
      </c>
      <c r="D578" t="s">
        <v>11</v>
      </c>
      <c r="E578" t="s">
        <v>49</v>
      </c>
      <c r="F578">
        <v>5</v>
      </c>
      <c r="G578">
        <v>9500</v>
      </c>
      <c r="H578" t="s">
        <v>95</v>
      </c>
      <c r="I578" t="str">
        <f>_xlfn.XLOOKUP(E578,'Products Master'!A:A,'Products Master'!B:B)</f>
        <v>Accessories</v>
      </c>
      <c r="J578">
        <f>_xlfn.XLOOKUP(E578,'Products Master'!A:A,'Products Master'!C:C)</f>
        <v>7000</v>
      </c>
      <c r="K578" t="str">
        <f>_xlfn.XLOOKUP(E578,'Products Master'!A:A,'Products Master'!D:D)</f>
        <v>Logitech</v>
      </c>
      <c r="L578">
        <f t="shared" si="32"/>
        <v>47500</v>
      </c>
      <c r="M578">
        <f t="shared" si="33"/>
        <v>35000</v>
      </c>
      <c r="N578">
        <f t="shared" si="34"/>
        <v>12500</v>
      </c>
      <c r="O578" s="2">
        <f t="shared" si="35"/>
        <v>0.26315789473684209</v>
      </c>
    </row>
    <row r="579" spans="1:15">
      <c r="A579" t="s">
        <v>1001</v>
      </c>
      <c r="B579" t="s">
        <v>158</v>
      </c>
      <c r="C579" t="s">
        <v>341</v>
      </c>
      <c r="D579" t="s">
        <v>29</v>
      </c>
      <c r="E579" t="s">
        <v>124</v>
      </c>
      <c r="F579">
        <v>2</v>
      </c>
      <c r="G579">
        <v>18000</v>
      </c>
      <c r="H579" t="s">
        <v>41</v>
      </c>
      <c r="I579" t="str">
        <f>_xlfn.XLOOKUP(E579,'Products Master'!A:A,'Products Master'!B:B)</f>
        <v>Storage</v>
      </c>
      <c r="J579">
        <f>_xlfn.XLOOKUP(E579,'Products Master'!A:A,'Products Master'!C:C)</f>
        <v>12000</v>
      </c>
      <c r="K579" t="str">
        <f>_xlfn.XLOOKUP(E579,'Products Master'!A:A,'Products Master'!D:D)</f>
        <v>Kingston</v>
      </c>
      <c r="L579">
        <f t="shared" ref="L579:L642" si="36">F579*G579</f>
        <v>36000</v>
      </c>
      <c r="M579">
        <f t="shared" ref="M579:M642" si="37">F579*J579</f>
        <v>24000</v>
      </c>
      <c r="N579">
        <f t="shared" ref="N579:N642" si="38">L579-M579</f>
        <v>12000</v>
      </c>
      <c r="O579" s="2">
        <f t="shared" ref="O579:O642" si="39">N579/L579</f>
        <v>0.33333333333333331</v>
      </c>
    </row>
    <row r="580" spans="1:15">
      <c r="A580" t="s">
        <v>1002</v>
      </c>
      <c r="B580" t="s">
        <v>853</v>
      </c>
      <c r="C580" t="s">
        <v>731</v>
      </c>
      <c r="D580" t="s">
        <v>115</v>
      </c>
      <c r="E580" t="s">
        <v>49</v>
      </c>
      <c r="F580">
        <v>4</v>
      </c>
      <c r="G580">
        <v>9500</v>
      </c>
      <c r="H580" t="s">
        <v>41</v>
      </c>
      <c r="I580" t="str">
        <f>_xlfn.XLOOKUP(E580,'Products Master'!A:A,'Products Master'!B:B)</f>
        <v>Accessories</v>
      </c>
      <c r="J580">
        <f>_xlfn.XLOOKUP(E580,'Products Master'!A:A,'Products Master'!C:C)</f>
        <v>7000</v>
      </c>
      <c r="K580" t="str">
        <f>_xlfn.XLOOKUP(E580,'Products Master'!A:A,'Products Master'!D:D)</f>
        <v>Logitech</v>
      </c>
      <c r="L580">
        <f t="shared" si="36"/>
        <v>38000</v>
      </c>
      <c r="M580">
        <f t="shared" si="37"/>
        <v>28000</v>
      </c>
      <c r="N580">
        <f t="shared" si="38"/>
        <v>10000</v>
      </c>
      <c r="O580" s="2">
        <f t="shared" si="39"/>
        <v>0.26315789473684209</v>
      </c>
    </row>
    <row r="581" spans="1:15">
      <c r="A581" t="s">
        <v>1003</v>
      </c>
      <c r="B581" t="s">
        <v>1004</v>
      </c>
      <c r="C581" t="s">
        <v>114</v>
      </c>
      <c r="D581" t="s">
        <v>115</v>
      </c>
      <c r="E581" t="s">
        <v>12</v>
      </c>
      <c r="F581">
        <v>2</v>
      </c>
      <c r="G581">
        <v>150000</v>
      </c>
      <c r="H581" t="s">
        <v>95</v>
      </c>
      <c r="I581" t="str">
        <f>_xlfn.XLOOKUP(E581,'Products Master'!A:A,'Products Master'!B:B)</f>
        <v>Electronics</v>
      </c>
      <c r="J581">
        <f>_xlfn.XLOOKUP(E581,'Products Master'!A:A,'Products Master'!C:C)</f>
        <v>120000</v>
      </c>
      <c r="K581" t="str">
        <f>_xlfn.XLOOKUP(E581,'Products Master'!A:A,'Products Master'!D:D)</f>
        <v>Dell</v>
      </c>
      <c r="L581">
        <f t="shared" si="36"/>
        <v>300000</v>
      </c>
      <c r="M581">
        <f t="shared" si="37"/>
        <v>240000</v>
      </c>
      <c r="N581">
        <f t="shared" si="38"/>
        <v>60000</v>
      </c>
      <c r="O581" s="2">
        <f t="shared" si="39"/>
        <v>0.2</v>
      </c>
    </row>
    <row r="582" spans="1:15">
      <c r="A582" t="s">
        <v>1005</v>
      </c>
      <c r="B582" t="s">
        <v>447</v>
      </c>
      <c r="C582" t="s">
        <v>526</v>
      </c>
      <c r="D582" t="s">
        <v>23</v>
      </c>
      <c r="E582" t="s">
        <v>179</v>
      </c>
      <c r="F582">
        <v>4</v>
      </c>
      <c r="G582">
        <v>80000</v>
      </c>
      <c r="H582" t="s">
        <v>116</v>
      </c>
      <c r="I582" t="str">
        <f>_xlfn.XLOOKUP(E582,'Products Master'!A:A,'Products Master'!B:B)</f>
        <v>Electronics</v>
      </c>
      <c r="J582">
        <f>_xlfn.XLOOKUP(E582,'Products Master'!A:A,'Products Master'!C:C)</f>
        <v>65000</v>
      </c>
      <c r="K582" t="str">
        <f>_xlfn.XLOOKUP(E582,'Products Master'!A:A,'Products Master'!D:D)</f>
        <v>Samsung</v>
      </c>
      <c r="L582">
        <f t="shared" si="36"/>
        <v>320000</v>
      </c>
      <c r="M582">
        <f t="shared" si="37"/>
        <v>260000</v>
      </c>
      <c r="N582">
        <f t="shared" si="38"/>
        <v>60000</v>
      </c>
      <c r="O582" s="2">
        <f t="shared" si="39"/>
        <v>0.1875</v>
      </c>
    </row>
    <row r="583" spans="1:15">
      <c r="A583" t="s">
        <v>1006</v>
      </c>
      <c r="B583" t="s">
        <v>925</v>
      </c>
      <c r="C583" t="s">
        <v>134</v>
      </c>
      <c r="D583" t="s">
        <v>115</v>
      </c>
      <c r="E583" t="s">
        <v>35</v>
      </c>
      <c r="F583">
        <v>3</v>
      </c>
      <c r="G583">
        <v>2000</v>
      </c>
      <c r="H583" t="s">
        <v>36</v>
      </c>
      <c r="I583" t="str">
        <f>_xlfn.XLOOKUP(E583,'Products Master'!A:A,'Products Master'!B:B)</f>
        <v>Storage</v>
      </c>
      <c r="J583">
        <f>_xlfn.XLOOKUP(E583,'Products Master'!A:A,'Products Master'!C:C)</f>
        <v>1200</v>
      </c>
      <c r="K583" t="str">
        <f>_xlfn.XLOOKUP(E583,'Products Master'!A:A,'Products Master'!D:D)</f>
        <v>SanDisk</v>
      </c>
      <c r="L583">
        <f t="shared" si="36"/>
        <v>6000</v>
      </c>
      <c r="M583">
        <f t="shared" si="37"/>
        <v>3600</v>
      </c>
      <c r="N583">
        <f t="shared" si="38"/>
        <v>2400</v>
      </c>
      <c r="O583" s="2">
        <f t="shared" si="39"/>
        <v>0.4</v>
      </c>
    </row>
    <row r="584" spans="1:15">
      <c r="A584" t="s">
        <v>1007</v>
      </c>
      <c r="B584" t="s">
        <v>369</v>
      </c>
      <c r="C584" t="s">
        <v>94</v>
      </c>
      <c r="D584" t="s">
        <v>29</v>
      </c>
      <c r="E584" t="s">
        <v>49</v>
      </c>
      <c r="F584">
        <v>1</v>
      </c>
      <c r="G584">
        <v>9500</v>
      </c>
      <c r="H584" t="s">
        <v>41</v>
      </c>
      <c r="I584" t="str">
        <f>_xlfn.XLOOKUP(E584,'Products Master'!A:A,'Products Master'!B:B)</f>
        <v>Accessories</v>
      </c>
      <c r="J584">
        <f>_xlfn.XLOOKUP(E584,'Products Master'!A:A,'Products Master'!C:C)</f>
        <v>7000</v>
      </c>
      <c r="K584" t="str">
        <f>_xlfn.XLOOKUP(E584,'Products Master'!A:A,'Products Master'!D:D)</f>
        <v>Logitech</v>
      </c>
      <c r="L584">
        <f t="shared" si="36"/>
        <v>9500</v>
      </c>
      <c r="M584">
        <f t="shared" si="37"/>
        <v>7000</v>
      </c>
      <c r="N584">
        <f t="shared" si="38"/>
        <v>2500</v>
      </c>
      <c r="O584" s="2">
        <f t="shared" si="39"/>
        <v>0.26315789473684209</v>
      </c>
    </row>
    <row r="585" spans="1:15">
      <c r="A585" t="s">
        <v>1008</v>
      </c>
      <c r="B585" t="s">
        <v>486</v>
      </c>
      <c r="C585" t="s">
        <v>394</v>
      </c>
      <c r="D585" t="s">
        <v>115</v>
      </c>
      <c r="E585" t="s">
        <v>179</v>
      </c>
      <c r="F585">
        <v>3</v>
      </c>
      <c r="G585">
        <v>80000</v>
      </c>
      <c r="H585" t="s">
        <v>66</v>
      </c>
      <c r="I585" t="str">
        <f>_xlfn.XLOOKUP(E585,'Products Master'!A:A,'Products Master'!B:B)</f>
        <v>Electronics</v>
      </c>
      <c r="J585">
        <f>_xlfn.XLOOKUP(E585,'Products Master'!A:A,'Products Master'!C:C)</f>
        <v>65000</v>
      </c>
      <c r="K585" t="str">
        <f>_xlfn.XLOOKUP(E585,'Products Master'!A:A,'Products Master'!D:D)</f>
        <v>Samsung</v>
      </c>
      <c r="L585">
        <f t="shared" si="36"/>
        <v>240000</v>
      </c>
      <c r="M585">
        <f t="shared" si="37"/>
        <v>195000</v>
      </c>
      <c r="N585">
        <f t="shared" si="38"/>
        <v>45000</v>
      </c>
      <c r="O585" s="2">
        <f t="shared" si="39"/>
        <v>0.1875</v>
      </c>
    </row>
    <row r="586" spans="1:15">
      <c r="A586" t="s">
        <v>1009</v>
      </c>
      <c r="B586" t="s">
        <v>405</v>
      </c>
      <c r="C586" t="s">
        <v>703</v>
      </c>
      <c r="D586" t="s">
        <v>23</v>
      </c>
      <c r="E586" t="s">
        <v>99</v>
      </c>
      <c r="F586">
        <v>4</v>
      </c>
      <c r="G586">
        <v>5000</v>
      </c>
      <c r="H586" t="s">
        <v>50</v>
      </c>
      <c r="I586" t="str">
        <f>_xlfn.XLOOKUP(E586,'Products Master'!A:A,'Products Master'!B:B)</f>
        <v>Accessories</v>
      </c>
      <c r="J586">
        <f>_xlfn.XLOOKUP(E586,'Products Master'!A:A,'Products Master'!C:C)</f>
        <v>3500</v>
      </c>
      <c r="K586" t="str">
        <f>_xlfn.XLOOKUP(E586,'Products Master'!A:A,'Products Master'!D:D)</f>
        <v>Logitech</v>
      </c>
      <c r="L586">
        <f t="shared" si="36"/>
        <v>20000</v>
      </c>
      <c r="M586">
        <f t="shared" si="37"/>
        <v>14000</v>
      </c>
      <c r="N586">
        <f t="shared" si="38"/>
        <v>6000</v>
      </c>
      <c r="O586" s="2">
        <f t="shared" si="39"/>
        <v>0.3</v>
      </c>
    </row>
    <row r="587" spans="1:15">
      <c r="A587" t="s">
        <v>1010</v>
      </c>
      <c r="B587" t="s">
        <v>1011</v>
      </c>
      <c r="C587" t="s">
        <v>263</v>
      </c>
      <c r="D587" t="s">
        <v>115</v>
      </c>
      <c r="E587" t="s">
        <v>124</v>
      </c>
      <c r="F587">
        <v>5</v>
      </c>
      <c r="G587">
        <v>18000</v>
      </c>
      <c r="H587" t="s">
        <v>30</v>
      </c>
      <c r="I587" t="str">
        <f>_xlfn.XLOOKUP(E587,'Products Master'!A:A,'Products Master'!B:B)</f>
        <v>Storage</v>
      </c>
      <c r="J587">
        <f>_xlfn.XLOOKUP(E587,'Products Master'!A:A,'Products Master'!C:C)</f>
        <v>12000</v>
      </c>
      <c r="K587" t="str">
        <f>_xlfn.XLOOKUP(E587,'Products Master'!A:A,'Products Master'!D:D)</f>
        <v>Kingston</v>
      </c>
      <c r="L587">
        <f t="shared" si="36"/>
        <v>90000</v>
      </c>
      <c r="M587">
        <f t="shared" si="37"/>
        <v>60000</v>
      </c>
      <c r="N587">
        <f t="shared" si="38"/>
        <v>30000</v>
      </c>
      <c r="O587" s="2">
        <f t="shared" si="39"/>
        <v>0.33333333333333331</v>
      </c>
    </row>
    <row r="588" spans="1:15">
      <c r="A588" t="s">
        <v>1012</v>
      </c>
      <c r="B588" t="s">
        <v>555</v>
      </c>
      <c r="C588" t="s">
        <v>466</v>
      </c>
      <c r="D588" t="s">
        <v>17</v>
      </c>
      <c r="E588" t="s">
        <v>54</v>
      </c>
      <c r="F588">
        <v>4</v>
      </c>
      <c r="G588">
        <v>7000</v>
      </c>
      <c r="H588" t="s">
        <v>50</v>
      </c>
      <c r="I588" t="str">
        <f>_xlfn.XLOOKUP(E588,'Products Master'!A:A,'Products Master'!B:B)</f>
        <v>Accessories</v>
      </c>
      <c r="J588">
        <f>_xlfn.XLOOKUP(E588,'Products Master'!A:A,'Products Master'!C:C)</f>
        <v>5000</v>
      </c>
      <c r="K588" t="str">
        <f>_xlfn.XLOOKUP(E588,'Products Master'!A:A,'Products Master'!D:D)</f>
        <v>Sony</v>
      </c>
      <c r="L588">
        <f t="shared" si="36"/>
        <v>28000</v>
      </c>
      <c r="M588">
        <f t="shared" si="37"/>
        <v>20000</v>
      </c>
      <c r="N588">
        <f t="shared" si="38"/>
        <v>8000</v>
      </c>
      <c r="O588" s="2">
        <f t="shared" si="39"/>
        <v>0.2857142857142857</v>
      </c>
    </row>
    <row r="589" spans="1:15">
      <c r="A589" t="s">
        <v>1013</v>
      </c>
      <c r="B589" t="s">
        <v>680</v>
      </c>
      <c r="C589" t="s">
        <v>119</v>
      </c>
      <c r="D589" t="s">
        <v>17</v>
      </c>
      <c r="E589" t="s">
        <v>40</v>
      </c>
      <c r="F589">
        <v>3</v>
      </c>
      <c r="G589">
        <v>60000</v>
      </c>
      <c r="H589" t="s">
        <v>30</v>
      </c>
      <c r="I589" t="str">
        <f>_xlfn.XLOOKUP(E589,'Products Master'!A:A,'Products Master'!B:B)</f>
        <v>Electronics</v>
      </c>
      <c r="J589">
        <f>_xlfn.XLOOKUP(E589,'Products Master'!A:A,'Products Master'!C:C)</f>
        <v>50000</v>
      </c>
      <c r="K589" t="str">
        <f>_xlfn.XLOOKUP(E589,'Products Master'!A:A,'Products Master'!D:D)</f>
        <v>LG</v>
      </c>
      <c r="L589">
        <f t="shared" si="36"/>
        <v>180000</v>
      </c>
      <c r="M589">
        <f t="shared" si="37"/>
        <v>150000</v>
      </c>
      <c r="N589">
        <f t="shared" si="38"/>
        <v>30000</v>
      </c>
      <c r="O589" s="2">
        <f t="shared" si="39"/>
        <v>0.16666666666666666</v>
      </c>
    </row>
    <row r="590" spans="1:15">
      <c r="A590" t="s">
        <v>1014</v>
      </c>
      <c r="B590" t="s">
        <v>551</v>
      </c>
      <c r="C590" t="s">
        <v>470</v>
      </c>
      <c r="D590" t="s">
        <v>29</v>
      </c>
      <c r="E590" t="s">
        <v>24</v>
      </c>
      <c r="F590">
        <v>3</v>
      </c>
      <c r="G590">
        <v>2500</v>
      </c>
      <c r="H590" t="s">
        <v>36</v>
      </c>
      <c r="I590" t="str">
        <f>_xlfn.XLOOKUP(E590,'Products Master'!A:A,'Products Master'!B:B)</f>
        <v>Accessories</v>
      </c>
      <c r="J590">
        <f>_xlfn.XLOOKUP(E590,'Products Master'!A:A,'Products Master'!C:C)</f>
        <v>1500</v>
      </c>
      <c r="K590" t="str">
        <f>_xlfn.XLOOKUP(E590,'Products Master'!A:A,'Products Master'!D:D)</f>
        <v>Logitech</v>
      </c>
      <c r="L590">
        <f t="shared" si="36"/>
        <v>7500</v>
      </c>
      <c r="M590">
        <f t="shared" si="37"/>
        <v>4500</v>
      </c>
      <c r="N590">
        <f t="shared" si="38"/>
        <v>3000</v>
      </c>
      <c r="O590" s="2">
        <f t="shared" si="39"/>
        <v>0.4</v>
      </c>
    </row>
    <row r="591" spans="1:15">
      <c r="A591" t="s">
        <v>1015</v>
      </c>
      <c r="B591" t="s">
        <v>670</v>
      </c>
      <c r="C591" t="s">
        <v>209</v>
      </c>
      <c r="D591" t="s">
        <v>111</v>
      </c>
      <c r="E591" t="s">
        <v>99</v>
      </c>
      <c r="F591">
        <v>4</v>
      </c>
      <c r="G591">
        <v>5000</v>
      </c>
      <c r="H591" t="s">
        <v>41</v>
      </c>
      <c r="I591" t="str">
        <f>_xlfn.XLOOKUP(E591,'Products Master'!A:A,'Products Master'!B:B)</f>
        <v>Accessories</v>
      </c>
      <c r="J591">
        <f>_xlfn.XLOOKUP(E591,'Products Master'!A:A,'Products Master'!C:C)</f>
        <v>3500</v>
      </c>
      <c r="K591" t="str">
        <f>_xlfn.XLOOKUP(E591,'Products Master'!A:A,'Products Master'!D:D)</f>
        <v>Logitech</v>
      </c>
      <c r="L591">
        <f t="shared" si="36"/>
        <v>20000</v>
      </c>
      <c r="M591">
        <f t="shared" si="37"/>
        <v>14000</v>
      </c>
      <c r="N591">
        <f t="shared" si="38"/>
        <v>6000</v>
      </c>
      <c r="O591" s="2">
        <f t="shared" si="39"/>
        <v>0.3</v>
      </c>
    </row>
    <row r="592" spans="1:15">
      <c r="A592" t="s">
        <v>1016</v>
      </c>
      <c r="B592" t="s">
        <v>1017</v>
      </c>
      <c r="C592" t="s">
        <v>312</v>
      </c>
      <c r="D592" t="s">
        <v>11</v>
      </c>
      <c r="E592" t="s">
        <v>35</v>
      </c>
      <c r="F592">
        <v>3</v>
      </c>
      <c r="G592">
        <v>2000</v>
      </c>
      <c r="H592" t="s">
        <v>19</v>
      </c>
      <c r="I592" t="str">
        <f>_xlfn.XLOOKUP(E592,'Products Master'!A:A,'Products Master'!B:B)</f>
        <v>Storage</v>
      </c>
      <c r="J592">
        <f>_xlfn.XLOOKUP(E592,'Products Master'!A:A,'Products Master'!C:C)</f>
        <v>1200</v>
      </c>
      <c r="K592" t="str">
        <f>_xlfn.XLOOKUP(E592,'Products Master'!A:A,'Products Master'!D:D)</f>
        <v>SanDisk</v>
      </c>
      <c r="L592">
        <f t="shared" si="36"/>
        <v>6000</v>
      </c>
      <c r="M592">
        <f t="shared" si="37"/>
        <v>3600</v>
      </c>
      <c r="N592">
        <f t="shared" si="38"/>
        <v>2400</v>
      </c>
      <c r="O592" s="2">
        <f t="shared" si="39"/>
        <v>0.4</v>
      </c>
    </row>
    <row r="593" spans="1:15">
      <c r="A593" t="s">
        <v>1018</v>
      </c>
      <c r="B593" t="s">
        <v>326</v>
      </c>
      <c r="C593" t="s">
        <v>337</v>
      </c>
      <c r="D593" t="s">
        <v>45</v>
      </c>
      <c r="E593" t="s">
        <v>99</v>
      </c>
      <c r="F593">
        <v>2</v>
      </c>
      <c r="G593">
        <v>5000</v>
      </c>
      <c r="H593" t="s">
        <v>66</v>
      </c>
      <c r="I593" t="str">
        <f>_xlfn.XLOOKUP(E593,'Products Master'!A:A,'Products Master'!B:B)</f>
        <v>Accessories</v>
      </c>
      <c r="J593">
        <f>_xlfn.XLOOKUP(E593,'Products Master'!A:A,'Products Master'!C:C)</f>
        <v>3500</v>
      </c>
      <c r="K593" t="str">
        <f>_xlfn.XLOOKUP(E593,'Products Master'!A:A,'Products Master'!D:D)</f>
        <v>Logitech</v>
      </c>
      <c r="L593">
        <f t="shared" si="36"/>
        <v>10000</v>
      </c>
      <c r="M593">
        <f t="shared" si="37"/>
        <v>7000</v>
      </c>
      <c r="N593">
        <f t="shared" si="38"/>
        <v>3000</v>
      </c>
      <c r="O593" s="2">
        <f t="shared" si="39"/>
        <v>0.3</v>
      </c>
    </row>
    <row r="594" spans="1:15">
      <c r="A594" t="s">
        <v>1019</v>
      </c>
      <c r="B594" t="s">
        <v>369</v>
      </c>
      <c r="C594" t="s">
        <v>170</v>
      </c>
      <c r="D594" t="s">
        <v>17</v>
      </c>
      <c r="E594" t="s">
        <v>99</v>
      </c>
      <c r="F594">
        <v>5</v>
      </c>
      <c r="G594">
        <v>5000</v>
      </c>
      <c r="H594" t="s">
        <v>30</v>
      </c>
      <c r="I594" t="str">
        <f>_xlfn.XLOOKUP(E594,'Products Master'!A:A,'Products Master'!B:B)</f>
        <v>Accessories</v>
      </c>
      <c r="J594">
        <f>_xlfn.XLOOKUP(E594,'Products Master'!A:A,'Products Master'!C:C)</f>
        <v>3500</v>
      </c>
      <c r="K594" t="str">
        <f>_xlfn.XLOOKUP(E594,'Products Master'!A:A,'Products Master'!D:D)</f>
        <v>Logitech</v>
      </c>
      <c r="L594">
        <f t="shared" si="36"/>
        <v>25000</v>
      </c>
      <c r="M594">
        <f t="shared" si="37"/>
        <v>17500</v>
      </c>
      <c r="N594">
        <f t="shared" si="38"/>
        <v>7500</v>
      </c>
      <c r="O594" s="2">
        <f t="shared" si="39"/>
        <v>0.3</v>
      </c>
    </row>
    <row r="595" spans="1:15">
      <c r="A595" t="s">
        <v>1020</v>
      </c>
      <c r="B595" t="s">
        <v>592</v>
      </c>
      <c r="C595" t="s">
        <v>173</v>
      </c>
      <c r="D595" t="s">
        <v>115</v>
      </c>
      <c r="E595" t="s">
        <v>24</v>
      </c>
      <c r="F595">
        <v>5</v>
      </c>
      <c r="G595">
        <v>2500</v>
      </c>
      <c r="H595" t="s">
        <v>36</v>
      </c>
      <c r="I595" t="str">
        <f>_xlfn.XLOOKUP(E595,'Products Master'!A:A,'Products Master'!B:B)</f>
        <v>Accessories</v>
      </c>
      <c r="J595">
        <f>_xlfn.XLOOKUP(E595,'Products Master'!A:A,'Products Master'!C:C)</f>
        <v>1500</v>
      </c>
      <c r="K595" t="str">
        <f>_xlfn.XLOOKUP(E595,'Products Master'!A:A,'Products Master'!D:D)</f>
        <v>Logitech</v>
      </c>
      <c r="L595">
        <f t="shared" si="36"/>
        <v>12500</v>
      </c>
      <c r="M595">
        <f t="shared" si="37"/>
        <v>7500</v>
      </c>
      <c r="N595">
        <f t="shared" si="38"/>
        <v>5000</v>
      </c>
      <c r="O595" s="2">
        <f t="shared" si="39"/>
        <v>0.4</v>
      </c>
    </row>
    <row r="596" spans="1:15">
      <c r="A596" t="s">
        <v>1021</v>
      </c>
      <c r="B596" t="s">
        <v>585</v>
      </c>
      <c r="C596" t="s">
        <v>470</v>
      </c>
      <c r="D596" t="s">
        <v>29</v>
      </c>
      <c r="E596" t="s">
        <v>12</v>
      </c>
      <c r="F596">
        <v>3</v>
      </c>
      <c r="G596">
        <v>150000</v>
      </c>
      <c r="H596" t="s">
        <v>25</v>
      </c>
      <c r="I596" t="str">
        <f>_xlfn.XLOOKUP(E596,'Products Master'!A:A,'Products Master'!B:B)</f>
        <v>Electronics</v>
      </c>
      <c r="J596">
        <f>_xlfn.XLOOKUP(E596,'Products Master'!A:A,'Products Master'!C:C)</f>
        <v>120000</v>
      </c>
      <c r="K596" t="str">
        <f>_xlfn.XLOOKUP(E596,'Products Master'!A:A,'Products Master'!D:D)</f>
        <v>Dell</v>
      </c>
      <c r="L596">
        <f t="shared" si="36"/>
        <v>450000</v>
      </c>
      <c r="M596">
        <f t="shared" si="37"/>
        <v>360000</v>
      </c>
      <c r="N596">
        <f t="shared" si="38"/>
        <v>90000</v>
      </c>
      <c r="O596" s="2">
        <f t="shared" si="39"/>
        <v>0.2</v>
      </c>
    </row>
    <row r="597" spans="1:15">
      <c r="A597" t="s">
        <v>1022</v>
      </c>
      <c r="B597" t="s">
        <v>734</v>
      </c>
      <c r="C597" t="s">
        <v>353</v>
      </c>
      <c r="D597" t="s">
        <v>23</v>
      </c>
      <c r="E597" t="s">
        <v>54</v>
      </c>
      <c r="F597">
        <v>3</v>
      </c>
      <c r="G597">
        <v>7000</v>
      </c>
      <c r="H597" t="s">
        <v>116</v>
      </c>
      <c r="I597" t="str">
        <f>_xlfn.XLOOKUP(E597,'Products Master'!A:A,'Products Master'!B:B)</f>
        <v>Accessories</v>
      </c>
      <c r="J597">
        <f>_xlfn.XLOOKUP(E597,'Products Master'!A:A,'Products Master'!C:C)</f>
        <v>5000</v>
      </c>
      <c r="K597" t="str">
        <f>_xlfn.XLOOKUP(E597,'Products Master'!A:A,'Products Master'!D:D)</f>
        <v>Sony</v>
      </c>
      <c r="L597">
        <f t="shared" si="36"/>
        <v>21000</v>
      </c>
      <c r="M597">
        <f t="shared" si="37"/>
        <v>15000</v>
      </c>
      <c r="N597">
        <f t="shared" si="38"/>
        <v>6000</v>
      </c>
      <c r="O597" s="2">
        <f t="shared" si="39"/>
        <v>0.2857142857142857</v>
      </c>
    </row>
    <row r="598" spans="1:15">
      <c r="A598" t="s">
        <v>1023</v>
      </c>
      <c r="B598" t="s">
        <v>666</v>
      </c>
      <c r="C598" t="s">
        <v>63</v>
      </c>
      <c r="D598" t="s">
        <v>17</v>
      </c>
      <c r="E598" t="s">
        <v>18</v>
      </c>
      <c r="F598">
        <v>5</v>
      </c>
      <c r="G598">
        <v>45000</v>
      </c>
      <c r="H598" t="s">
        <v>25</v>
      </c>
      <c r="I598" t="str">
        <f>_xlfn.XLOOKUP(E598,'Products Master'!A:A,'Products Master'!B:B)</f>
        <v>Electronics</v>
      </c>
      <c r="J598">
        <f>_xlfn.XLOOKUP(E598,'Products Master'!A:A,'Products Master'!C:C)</f>
        <v>35000</v>
      </c>
      <c r="K598" t="str">
        <f>_xlfn.XLOOKUP(E598,'Products Master'!A:A,'Products Master'!D:D)</f>
        <v>HP</v>
      </c>
      <c r="L598">
        <f t="shared" si="36"/>
        <v>225000</v>
      </c>
      <c r="M598">
        <f t="shared" si="37"/>
        <v>175000</v>
      </c>
      <c r="N598">
        <f t="shared" si="38"/>
        <v>50000</v>
      </c>
      <c r="O598" s="2">
        <f t="shared" si="39"/>
        <v>0.22222222222222221</v>
      </c>
    </row>
    <row r="599" spans="1:15">
      <c r="A599" t="s">
        <v>1024</v>
      </c>
      <c r="B599" t="s">
        <v>225</v>
      </c>
      <c r="C599" t="s">
        <v>341</v>
      </c>
      <c r="D599" t="s">
        <v>45</v>
      </c>
      <c r="E599" t="s">
        <v>24</v>
      </c>
      <c r="F599">
        <v>5</v>
      </c>
      <c r="G599">
        <v>2500</v>
      </c>
      <c r="H599" t="s">
        <v>66</v>
      </c>
      <c r="I599" t="str">
        <f>_xlfn.XLOOKUP(E599,'Products Master'!A:A,'Products Master'!B:B)</f>
        <v>Accessories</v>
      </c>
      <c r="J599">
        <f>_xlfn.XLOOKUP(E599,'Products Master'!A:A,'Products Master'!C:C)</f>
        <v>1500</v>
      </c>
      <c r="K599" t="str">
        <f>_xlfn.XLOOKUP(E599,'Products Master'!A:A,'Products Master'!D:D)</f>
        <v>Logitech</v>
      </c>
      <c r="L599">
        <f t="shared" si="36"/>
        <v>12500</v>
      </c>
      <c r="M599">
        <f t="shared" si="37"/>
        <v>7500</v>
      </c>
      <c r="N599">
        <f t="shared" si="38"/>
        <v>5000</v>
      </c>
      <c r="O599" s="2">
        <f t="shared" si="39"/>
        <v>0.4</v>
      </c>
    </row>
    <row r="600" spans="1:15">
      <c r="A600" t="s">
        <v>1025</v>
      </c>
      <c r="B600" t="s">
        <v>204</v>
      </c>
      <c r="C600" t="s">
        <v>403</v>
      </c>
      <c r="D600" t="s">
        <v>45</v>
      </c>
      <c r="E600" t="s">
        <v>24</v>
      </c>
      <c r="F600">
        <v>2</v>
      </c>
      <c r="G600">
        <v>2500</v>
      </c>
      <c r="H600" t="s">
        <v>50</v>
      </c>
      <c r="I600" t="str">
        <f>_xlfn.XLOOKUP(E600,'Products Master'!A:A,'Products Master'!B:B)</f>
        <v>Accessories</v>
      </c>
      <c r="J600">
        <f>_xlfn.XLOOKUP(E600,'Products Master'!A:A,'Products Master'!C:C)</f>
        <v>1500</v>
      </c>
      <c r="K600" t="str">
        <f>_xlfn.XLOOKUP(E600,'Products Master'!A:A,'Products Master'!D:D)</f>
        <v>Logitech</v>
      </c>
      <c r="L600">
        <f t="shared" si="36"/>
        <v>5000</v>
      </c>
      <c r="M600">
        <f t="shared" si="37"/>
        <v>3000</v>
      </c>
      <c r="N600">
        <f t="shared" si="38"/>
        <v>2000</v>
      </c>
      <c r="O600" s="2">
        <f t="shared" si="39"/>
        <v>0.4</v>
      </c>
    </row>
    <row r="601" spans="1:15">
      <c r="A601" t="s">
        <v>1026</v>
      </c>
      <c r="B601" t="s">
        <v>797</v>
      </c>
      <c r="C601" t="s">
        <v>134</v>
      </c>
      <c r="D601" t="s">
        <v>45</v>
      </c>
      <c r="E601" t="s">
        <v>124</v>
      </c>
      <c r="F601">
        <v>3</v>
      </c>
      <c r="G601">
        <v>18000</v>
      </c>
      <c r="H601" t="s">
        <v>36</v>
      </c>
      <c r="I601" t="str">
        <f>_xlfn.XLOOKUP(E601,'Products Master'!A:A,'Products Master'!B:B)</f>
        <v>Storage</v>
      </c>
      <c r="J601">
        <f>_xlfn.XLOOKUP(E601,'Products Master'!A:A,'Products Master'!C:C)</f>
        <v>12000</v>
      </c>
      <c r="K601" t="str">
        <f>_xlfn.XLOOKUP(E601,'Products Master'!A:A,'Products Master'!D:D)</f>
        <v>Kingston</v>
      </c>
      <c r="L601">
        <f t="shared" si="36"/>
        <v>54000</v>
      </c>
      <c r="M601">
        <f t="shared" si="37"/>
        <v>36000</v>
      </c>
      <c r="N601">
        <f t="shared" si="38"/>
        <v>18000</v>
      </c>
      <c r="O601" s="2">
        <f t="shared" si="39"/>
        <v>0.33333333333333331</v>
      </c>
    </row>
    <row r="602" spans="1:15">
      <c r="A602" t="s">
        <v>1027</v>
      </c>
      <c r="B602" t="s">
        <v>32</v>
      </c>
      <c r="C602" t="s">
        <v>346</v>
      </c>
      <c r="D602" t="s">
        <v>17</v>
      </c>
      <c r="E602" t="s">
        <v>54</v>
      </c>
      <c r="F602">
        <v>5</v>
      </c>
      <c r="G602">
        <v>7000</v>
      </c>
      <c r="H602" t="s">
        <v>50</v>
      </c>
      <c r="I602" t="str">
        <f>_xlfn.XLOOKUP(E602,'Products Master'!A:A,'Products Master'!B:B)</f>
        <v>Accessories</v>
      </c>
      <c r="J602">
        <f>_xlfn.XLOOKUP(E602,'Products Master'!A:A,'Products Master'!C:C)</f>
        <v>5000</v>
      </c>
      <c r="K602" t="str">
        <f>_xlfn.XLOOKUP(E602,'Products Master'!A:A,'Products Master'!D:D)</f>
        <v>Sony</v>
      </c>
      <c r="L602">
        <f t="shared" si="36"/>
        <v>35000</v>
      </c>
      <c r="M602">
        <f t="shared" si="37"/>
        <v>25000</v>
      </c>
      <c r="N602">
        <f t="shared" si="38"/>
        <v>10000</v>
      </c>
      <c r="O602" s="2">
        <f t="shared" si="39"/>
        <v>0.2857142857142857</v>
      </c>
    </row>
    <row r="603" spans="1:15">
      <c r="A603" t="s">
        <v>1028</v>
      </c>
      <c r="B603" t="s">
        <v>208</v>
      </c>
      <c r="C603" t="s">
        <v>288</v>
      </c>
      <c r="D603" t="s">
        <v>115</v>
      </c>
      <c r="E603" t="s">
        <v>40</v>
      </c>
      <c r="F603">
        <v>2</v>
      </c>
      <c r="G603">
        <v>60000</v>
      </c>
      <c r="H603" t="s">
        <v>36</v>
      </c>
      <c r="I603" t="str">
        <f>_xlfn.XLOOKUP(E603,'Products Master'!A:A,'Products Master'!B:B)</f>
        <v>Electronics</v>
      </c>
      <c r="J603">
        <f>_xlfn.XLOOKUP(E603,'Products Master'!A:A,'Products Master'!C:C)</f>
        <v>50000</v>
      </c>
      <c r="K603" t="str">
        <f>_xlfn.XLOOKUP(E603,'Products Master'!A:A,'Products Master'!D:D)</f>
        <v>LG</v>
      </c>
      <c r="L603">
        <f t="shared" si="36"/>
        <v>120000</v>
      </c>
      <c r="M603">
        <f t="shared" si="37"/>
        <v>100000</v>
      </c>
      <c r="N603">
        <f t="shared" si="38"/>
        <v>20000</v>
      </c>
      <c r="O603" s="2">
        <f t="shared" si="39"/>
        <v>0.16666666666666666</v>
      </c>
    </row>
    <row r="604" spans="1:15">
      <c r="A604" t="s">
        <v>1029</v>
      </c>
      <c r="B604" t="s">
        <v>166</v>
      </c>
      <c r="C604" t="s">
        <v>147</v>
      </c>
      <c r="D604" t="s">
        <v>115</v>
      </c>
      <c r="E604" t="s">
        <v>179</v>
      </c>
      <c r="F604">
        <v>4</v>
      </c>
      <c r="G604">
        <v>80000</v>
      </c>
      <c r="H604" t="s">
        <v>95</v>
      </c>
      <c r="I604" t="str">
        <f>_xlfn.XLOOKUP(E604,'Products Master'!A:A,'Products Master'!B:B)</f>
        <v>Electronics</v>
      </c>
      <c r="J604">
        <f>_xlfn.XLOOKUP(E604,'Products Master'!A:A,'Products Master'!C:C)</f>
        <v>65000</v>
      </c>
      <c r="K604" t="str">
        <f>_xlfn.XLOOKUP(E604,'Products Master'!A:A,'Products Master'!D:D)</f>
        <v>Samsung</v>
      </c>
      <c r="L604">
        <f t="shared" si="36"/>
        <v>320000</v>
      </c>
      <c r="M604">
        <f t="shared" si="37"/>
        <v>260000</v>
      </c>
      <c r="N604">
        <f t="shared" si="38"/>
        <v>60000</v>
      </c>
      <c r="O604" s="2">
        <f t="shared" si="39"/>
        <v>0.1875</v>
      </c>
    </row>
    <row r="605" spans="1:15">
      <c r="A605" t="s">
        <v>1030</v>
      </c>
      <c r="B605" t="s">
        <v>65</v>
      </c>
      <c r="C605" t="s">
        <v>432</v>
      </c>
      <c r="D605" t="s">
        <v>29</v>
      </c>
      <c r="E605" t="s">
        <v>24</v>
      </c>
      <c r="F605">
        <v>4</v>
      </c>
      <c r="G605">
        <v>2500</v>
      </c>
      <c r="H605" t="s">
        <v>19</v>
      </c>
      <c r="I605" t="str">
        <f>_xlfn.XLOOKUP(E605,'Products Master'!A:A,'Products Master'!B:B)</f>
        <v>Accessories</v>
      </c>
      <c r="J605">
        <f>_xlfn.XLOOKUP(E605,'Products Master'!A:A,'Products Master'!C:C)</f>
        <v>1500</v>
      </c>
      <c r="K605" t="str">
        <f>_xlfn.XLOOKUP(E605,'Products Master'!A:A,'Products Master'!D:D)</f>
        <v>Logitech</v>
      </c>
      <c r="L605">
        <f t="shared" si="36"/>
        <v>10000</v>
      </c>
      <c r="M605">
        <f t="shared" si="37"/>
        <v>6000</v>
      </c>
      <c r="N605">
        <f t="shared" si="38"/>
        <v>4000</v>
      </c>
      <c r="O605" s="2">
        <f t="shared" si="39"/>
        <v>0.4</v>
      </c>
    </row>
    <row r="606" spans="1:15">
      <c r="A606" t="s">
        <v>1031</v>
      </c>
      <c r="B606" t="s">
        <v>493</v>
      </c>
      <c r="C606" t="s">
        <v>703</v>
      </c>
      <c r="D606" t="s">
        <v>17</v>
      </c>
      <c r="E606" t="s">
        <v>18</v>
      </c>
      <c r="F606">
        <v>1</v>
      </c>
      <c r="G606">
        <v>45000</v>
      </c>
      <c r="H606" t="s">
        <v>30</v>
      </c>
      <c r="I606" t="str">
        <f>_xlfn.XLOOKUP(E606,'Products Master'!A:A,'Products Master'!B:B)</f>
        <v>Electronics</v>
      </c>
      <c r="J606">
        <f>_xlfn.XLOOKUP(E606,'Products Master'!A:A,'Products Master'!C:C)</f>
        <v>35000</v>
      </c>
      <c r="K606" t="str">
        <f>_xlfn.XLOOKUP(E606,'Products Master'!A:A,'Products Master'!D:D)</f>
        <v>HP</v>
      </c>
      <c r="L606">
        <f t="shared" si="36"/>
        <v>45000</v>
      </c>
      <c r="M606">
        <f t="shared" si="37"/>
        <v>35000</v>
      </c>
      <c r="N606">
        <f t="shared" si="38"/>
        <v>10000</v>
      </c>
      <c r="O606" s="2">
        <f t="shared" si="39"/>
        <v>0.22222222222222221</v>
      </c>
    </row>
    <row r="607" spans="1:15">
      <c r="A607" t="s">
        <v>1032</v>
      </c>
      <c r="B607" t="s">
        <v>580</v>
      </c>
      <c r="C607" t="s">
        <v>107</v>
      </c>
      <c r="D607" t="s">
        <v>115</v>
      </c>
      <c r="E607" t="s">
        <v>179</v>
      </c>
      <c r="F607">
        <v>2</v>
      </c>
      <c r="G607">
        <v>80000</v>
      </c>
      <c r="H607" t="s">
        <v>66</v>
      </c>
      <c r="I607" t="str">
        <f>_xlfn.XLOOKUP(E607,'Products Master'!A:A,'Products Master'!B:B)</f>
        <v>Electronics</v>
      </c>
      <c r="J607">
        <f>_xlfn.XLOOKUP(E607,'Products Master'!A:A,'Products Master'!C:C)</f>
        <v>65000</v>
      </c>
      <c r="K607" t="str">
        <f>_xlfn.XLOOKUP(E607,'Products Master'!A:A,'Products Master'!D:D)</f>
        <v>Samsung</v>
      </c>
      <c r="L607">
        <f t="shared" si="36"/>
        <v>160000</v>
      </c>
      <c r="M607">
        <f t="shared" si="37"/>
        <v>130000</v>
      </c>
      <c r="N607">
        <f t="shared" si="38"/>
        <v>30000</v>
      </c>
      <c r="O607" s="2">
        <f t="shared" si="39"/>
        <v>0.1875</v>
      </c>
    </row>
    <row r="608" spans="1:15">
      <c r="A608" t="s">
        <v>1033</v>
      </c>
      <c r="B608" t="s">
        <v>1034</v>
      </c>
      <c r="C608" t="s">
        <v>226</v>
      </c>
      <c r="D608" t="s">
        <v>45</v>
      </c>
      <c r="E608" t="s">
        <v>18</v>
      </c>
      <c r="F608">
        <v>5</v>
      </c>
      <c r="G608">
        <v>45000</v>
      </c>
      <c r="H608" t="s">
        <v>41</v>
      </c>
      <c r="I608" t="str">
        <f>_xlfn.XLOOKUP(E608,'Products Master'!A:A,'Products Master'!B:B)</f>
        <v>Electronics</v>
      </c>
      <c r="J608">
        <f>_xlfn.XLOOKUP(E608,'Products Master'!A:A,'Products Master'!C:C)</f>
        <v>35000</v>
      </c>
      <c r="K608" t="str">
        <f>_xlfn.XLOOKUP(E608,'Products Master'!A:A,'Products Master'!D:D)</f>
        <v>HP</v>
      </c>
      <c r="L608">
        <f t="shared" si="36"/>
        <v>225000</v>
      </c>
      <c r="M608">
        <f t="shared" si="37"/>
        <v>175000</v>
      </c>
      <c r="N608">
        <f t="shared" si="38"/>
        <v>50000</v>
      </c>
      <c r="O608" s="2">
        <f t="shared" si="39"/>
        <v>0.22222222222222221</v>
      </c>
    </row>
    <row r="609" spans="1:15">
      <c r="A609" t="s">
        <v>1035</v>
      </c>
      <c r="B609" t="s">
        <v>632</v>
      </c>
      <c r="C609" t="s">
        <v>44</v>
      </c>
      <c r="D609" t="s">
        <v>45</v>
      </c>
      <c r="E609" t="s">
        <v>54</v>
      </c>
      <c r="F609">
        <v>1</v>
      </c>
      <c r="G609">
        <v>7000</v>
      </c>
      <c r="H609" t="s">
        <v>36</v>
      </c>
      <c r="I609" t="str">
        <f>_xlfn.XLOOKUP(E609,'Products Master'!A:A,'Products Master'!B:B)</f>
        <v>Accessories</v>
      </c>
      <c r="J609">
        <f>_xlfn.XLOOKUP(E609,'Products Master'!A:A,'Products Master'!C:C)</f>
        <v>5000</v>
      </c>
      <c r="K609" t="str">
        <f>_xlfn.XLOOKUP(E609,'Products Master'!A:A,'Products Master'!D:D)</f>
        <v>Sony</v>
      </c>
      <c r="L609">
        <f t="shared" si="36"/>
        <v>7000</v>
      </c>
      <c r="M609">
        <f t="shared" si="37"/>
        <v>5000</v>
      </c>
      <c r="N609">
        <f t="shared" si="38"/>
        <v>2000</v>
      </c>
      <c r="O609" s="2">
        <f t="shared" si="39"/>
        <v>0.2857142857142857</v>
      </c>
    </row>
    <row r="610" spans="1:15">
      <c r="A610" t="s">
        <v>1036</v>
      </c>
      <c r="B610" t="s">
        <v>326</v>
      </c>
      <c r="C610" t="s">
        <v>186</v>
      </c>
      <c r="D610" t="s">
        <v>111</v>
      </c>
      <c r="E610" t="s">
        <v>99</v>
      </c>
      <c r="F610">
        <v>4</v>
      </c>
      <c r="G610">
        <v>5000</v>
      </c>
      <c r="H610" t="s">
        <v>25</v>
      </c>
      <c r="I610" t="str">
        <f>_xlfn.XLOOKUP(E610,'Products Master'!A:A,'Products Master'!B:B)</f>
        <v>Accessories</v>
      </c>
      <c r="J610">
        <f>_xlfn.XLOOKUP(E610,'Products Master'!A:A,'Products Master'!C:C)</f>
        <v>3500</v>
      </c>
      <c r="K610" t="str">
        <f>_xlfn.XLOOKUP(E610,'Products Master'!A:A,'Products Master'!D:D)</f>
        <v>Logitech</v>
      </c>
      <c r="L610">
        <f t="shared" si="36"/>
        <v>20000</v>
      </c>
      <c r="M610">
        <f t="shared" si="37"/>
        <v>14000</v>
      </c>
      <c r="N610">
        <f t="shared" si="38"/>
        <v>6000</v>
      </c>
      <c r="O610" s="2">
        <f t="shared" si="39"/>
        <v>0.3</v>
      </c>
    </row>
    <row r="611" spans="1:15">
      <c r="A611" t="s">
        <v>1037</v>
      </c>
      <c r="B611" t="s">
        <v>1038</v>
      </c>
      <c r="C611" t="s">
        <v>176</v>
      </c>
      <c r="D611" t="s">
        <v>111</v>
      </c>
      <c r="E611" t="s">
        <v>18</v>
      </c>
      <c r="F611">
        <v>4</v>
      </c>
      <c r="G611">
        <v>45000</v>
      </c>
      <c r="H611" t="s">
        <v>50</v>
      </c>
      <c r="I611" t="str">
        <f>_xlfn.XLOOKUP(E611,'Products Master'!A:A,'Products Master'!B:B)</f>
        <v>Electronics</v>
      </c>
      <c r="J611">
        <f>_xlfn.XLOOKUP(E611,'Products Master'!A:A,'Products Master'!C:C)</f>
        <v>35000</v>
      </c>
      <c r="K611" t="str">
        <f>_xlfn.XLOOKUP(E611,'Products Master'!A:A,'Products Master'!D:D)</f>
        <v>HP</v>
      </c>
      <c r="L611">
        <f t="shared" si="36"/>
        <v>180000</v>
      </c>
      <c r="M611">
        <f t="shared" si="37"/>
        <v>140000</v>
      </c>
      <c r="N611">
        <f t="shared" si="38"/>
        <v>40000</v>
      </c>
      <c r="O611" s="2">
        <f t="shared" si="39"/>
        <v>0.22222222222222221</v>
      </c>
    </row>
    <row r="612" spans="1:15">
      <c r="A612" t="s">
        <v>1039</v>
      </c>
      <c r="B612" t="s">
        <v>47</v>
      </c>
      <c r="C612" t="s">
        <v>539</v>
      </c>
      <c r="D612" t="s">
        <v>23</v>
      </c>
      <c r="E612" t="s">
        <v>18</v>
      </c>
      <c r="F612">
        <v>4</v>
      </c>
      <c r="G612">
        <v>45000</v>
      </c>
      <c r="H612" t="s">
        <v>30</v>
      </c>
      <c r="I612" t="str">
        <f>_xlfn.XLOOKUP(E612,'Products Master'!A:A,'Products Master'!B:B)</f>
        <v>Electronics</v>
      </c>
      <c r="J612">
        <f>_xlfn.XLOOKUP(E612,'Products Master'!A:A,'Products Master'!C:C)</f>
        <v>35000</v>
      </c>
      <c r="K612" t="str">
        <f>_xlfn.XLOOKUP(E612,'Products Master'!A:A,'Products Master'!D:D)</f>
        <v>HP</v>
      </c>
      <c r="L612">
        <f t="shared" si="36"/>
        <v>180000</v>
      </c>
      <c r="M612">
        <f t="shared" si="37"/>
        <v>140000</v>
      </c>
      <c r="N612">
        <f t="shared" si="38"/>
        <v>40000</v>
      </c>
      <c r="O612" s="2">
        <f t="shared" si="39"/>
        <v>0.22222222222222221</v>
      </c>
    </row>
    <row r="613" spans="1:15">
      <c r="A613" t="s">
        <v>1040</v>
      </c>
      <c r="B613" t="s">
        <v>369</v>
      </c>
      <c r="C613" t="s">
        <v>226</v>
      </c>
      <c r="D613" t="s">
        <v>17</v>
      </c>
      <c r="E613" t="s">
        <v>124</v>
      </c>
      <c r="F613">
        <v>5</v>
      </c>
      <c r="G613">
        <v>18000</v>
      </c>
      <c r="H613" t="s">
        <v>25</v>
      </c>
      <c r="I613" t="str">
        <f>_xlfn.XLOOKUP(E613,'Products Master'!A:A,'Products Master'!B:B)</f>
        <v>Storage</v>
      </c>
      <c r="J613">
        <f>_xlfn.XLOOKUP(E613,'Products Master'!A:A,'Products Master'!C:C)</f>
        <v>12000</v>
      </c>
      <c r="K613" t="str">
        <f>_xlfn.XLOOKUP(E613,'Products Master'!A:A,'Products Master'!D:D)</f>
        <v>Kingston</v>
      </c>
      <c r="L613">
        <f t="shared" si="36"/>
        <v>90000</v>
      </c>
      <c r="M613">
        <f t="shared" si="37"/>
        <v>60000</v>
      </c>
      <c r="N613">
        <f t="shared" si="38"/>
        <v>30000</v>
      </c>
      <c r="O613" s="2">
        <f t="shared" si="39"/>
        <v>0.33333333333333331</v>
      </c>
    </row>
    <row r="614" spans="1:15">
      <c r="A614" t="s">
        <v>1041</v>
      </c>
      <c r="B614" t="s">
        <v>833</v>
      </c>
      <c r="C614" t="s">
        <v>263</v>
      </c>
      <c r="D614" t="s">
        <v>17</v>
      </c>
      <c r="E614" t="s">
        <v>18</v>
      </c>
      <c r="F614">
        <v>2</v>
      </c>
      <c r="G614">
        <v>45000</v>
      </c>
      <c r="H614" t="s">
        <v>30</v>
      </c>
      <c r="I614" t="str">
        <f>_xlfn.XLOOKUP(E614,'Products Master'!A:A,'Products Master'!B:B)</f>
        <v>Electronics</v>
      </c>
      <c r="J614">
        <f>_xlfn.XLOOKUP(E614,'Products Master'!A:A,'Products Master'!C:C)</f>
        <v>35000</v>
      </c>
      <c r="K614" t="str">
        <f>_xlfn.XLOOKUP(E614,'Products Master'!A:A,'Products Master'!D:D)</f>
        <v>HP</v>
      </c>
      <c r="L614">
        <f t="shared" si="36"/>
        <v>90000</v>
      </c>
      <c r="M614">
        <f t="shared" si="37"/>
        <v>70000</v>
      </c>
      <c r="N614">
        <f t="shared" si="38"/>
        <v>20000</v>
      </c>
      <c r="O614" s="2">
        <f t="shared" si="39"/>
        <v>0.22222222222222221</v>
      </c>
    </row>
    <row r="615" spans="1:15">
      <c r="A615" t="s">
        <v>1042</v>
      </c>
      <c r="B615" t="s">
        <v>1043</v>
      </c>
      <c r="C615" t="s">
        <v>303</v>
      </c>
      <c r="D615" t="s">
        <v>23</v>
      </c>
      <c r="E615" t="s">
        <v>49</v>
      </c>
      <c r="F615">
        <v>4</v>
      </c>
      <c r="G615">
        <v>9500</v>
      </c>
      <c r="H615" t="s">
        <v>95</v>
      </c>
      <c r="I615" t="str">
        <f>_xlfn.XLOOKUP(E615,'Products Master'!A:A,'Products Master'!B:B)</f>
        <v>Accessories</v>
      </c>
      <c r="J615">
        <f>_xlfn.XLOOKUP(E615,'Products Master'!A:A,'Products Master'!C:C)</f>
        <v>7000</v>
      </c>
      <c r="K615" t="str">
        <f>_xlfn.XLOOKUP(E615,'Products Master'!A:A,'Products Master'!D:D)</f>
        <v>Logitech</v>
      </c>
      <c r="L615">
        <f t="shared" si="36"/>
        <v>38000</v>
      </c>
      <c r="M615">
        <f t="shared" si="37"/>
        <v>28000</v>
      </c>
      <c r="N615">
        <f t="shared" si="38"/>
        <v>10000</v>
      </c>
      <c r="O615" s="2">
        <f t="shared" si="39"/>
        <v>0.26315789473684209</v>
      </c>
    </row>
    <row r="616" spans="1:15">
      <c r="A616" t="s">
        <v>1044</v>
      </c>
      <c r="B616" t="s">
        <v>282</v>
      </c>
      <c r="C616" t="s">
        <v>384</v>
      </c>
      <c r="D616" t="s">
        <v>23</v>
      </c>
      <c r="E616" t="s">
        <v>24</v>
      </c>
      <c r="F616">
        <v>4</v>
      </c>
      <c r="G616">
        <v>2500</v>
      </c>
      <c r="H616" t="s">
        <v>116</v>
      </c>
      <c r="I616" t="str">
        <f>_xlfn.XLOOKUP(E616,'Products Master'!A:A,'Products Master'!B:B)</f>
        <v>Accessories</v>
      </c>
      <c r="J616">
        <f>_xlfn.XLOOKUP(E616,'Products Master'!A:A,'Products Master'!C:C)</f>
        <v>1500</v>
      </c>
      <c r="K616" t="str">
        <f>_xlfn.XLOOKUP(E616,'Products Master'!A:A,'Products Master'!D:D)</f>
        <v>Logitech</v>
      </c>
      <c r="L616">
        <f t="shared" si="36"/>
        <v>10000</v>
      </c>
      <c r="M616">
        <f t="shared" si="37"/>
        <v>6000</v>
      </c>
      <c r="N616">
        <f t="shared" si="38"/>
        <v>4000</v>
      </c>
      <c r="O616" s="2">
        <f t="shared" si="39"/>
        <v>0.4</v>
      </c>
    </row>
    <row r="617" spans="1:15">
      <c r="A617" t="s">
        <v>1045</v>
      </c>
      <c r="B617" t="s">
        <v>182</v>
      </c>
      <c r="C617" t="s">
        <v>400</v>
      </c>
      <c r="D617" t="s">
        <v>115</v>
      </c>
      <c r="E617" t="s">
        <v>40</v>
      </c>
      <c r="F617">
        <v>2</v>
      </c>
      <c r="G617">
        <v>60000</v>
      </c>
      <c r="H617" t="s">
        <v>116</v>
      </c>
      <c r="I617" t="str">
        <f>_xlfn.XLOOKUP(E617,'Products Master'!A:A,'Products Master'!B:B)</f>
        <v>Electronics</v>
      </c>
      <c r="J617">
        <f>_xlfn.XLOOKUP(E617,'Products Master'!A:A,'Products Master'!C:C)</f>
        <v>50000</v>
      </c>
      <c r="K617" t="str">
        <f>_xlfn.XLOOKUP(E617,'Products Master'!A:A,'Products Master'!D:D)</f>
        <v>LG</v>
      </c>
      <c r="L617">
        <f t="shared" si="36"/>
        <v>120000</v>
      </c>
      <c r="M617">
        <f t="shared" si="37"/>
        <v>100000</v>
      </c>
      <c r="N617">
        <f t="shared" si="38"/>
        <v>20000</v>
      </c>
      <c r="O617" s="2">
        <f t="shared" si="39"/>
        <v>0.16666666666666666</v>
      </c>
    </row>
    <row r="618" spans="1:15">
      <c r="A618" t="s">
        <v>1046</v>
      </c>
      <c r="B618" t="s">
        <v>739</v>
      </c>
      <c r="C618" t="s">
        <v>22</v>
      </c>
      <c r="D618" t="s">
        <v>34</v>
      </c>
      <c r="E618" t="s">
        <v>18</v>
      </c>
      <c r="F618">
        <v>2</v>
      </c>
      <c r="G618">
        <v>45000</v>
      </c>
      <c r="H618" t="s">
        <v>95</v>
      </c>
      <c r="I618" t="str">
        <f>_xlfn.XLOOKUP(E618,'Products Master'!A:A,'Products Master'!B:B)</f>
        <v>Electronics</v>
      </c>
      <c r="J618">
        <f>_xlfn.XLOOKUP(E618,'Products Master'!A:A,'Products Master'!C:C)</f>
        <v>35000</v>
      </c>
      <c r="K618" t="str">
        <f>_xlfn.XLOOKUP(E618,'Products Master'!A:A,'Products Master'!D:D)</f>
        <v>HP</v>
      </c>
      <c r="L618">
        <f t="shared" si="36"/>
        <v>90000</v>
      </c>
      <c r="M618">
        <f t="shared" si="37"/>
        <v>70000</v>
      </c>
      <c r="N618">
        <f t="shared" si="38"/>
        <v>20000</v>
      </c>
      <c r="O618" s="2">
        <f t="shared" si="39"/>
        <v>0.22222222222222221</v>
      </c>
    </row>
    <row r="619" spans="1:15">
      <c r="A619" t="s">
        <v>1047</v>
      </c>
      <c r="B619" t="s">
        <v>885</v>
      </c>
      <c r="C619" t="s">
        <v>254</v>
      </c>
      <c r="D619" t="s">
        <v>45</v>
      </c>
      <c r="E619" t="s">
        <v>18</v>
      </c>
      <c r="F619">
        <v>3</v>
      </c>
      <c r="G619">
        <v>45000</v>
      </c>
      <c r="H619" t="s">
        <v>50</v>
      </c>
      <c r="I619" t="str">
        <f>_xlfn.XLOOKUP(E619,'Products Master'!A:A,'Products Master'!B:B)</f>
        <v>Electronics</v>
      </c>
      <c r="J619">
        <f>_xlfn.XLOOKUP(E619,'Products Master'!A:A,'Products Master'!C:C)</f>
        <v>35000</v>
      </c>
      <c r="K619" t="str">
        <f>_xlfn.XLOOKUP(E619,'Products Master'!A:A,'Products Master'!D:D)</f>
        <v>HP</v>
      </c>
      <c r="L619">
        <f t="shared" si="36"/>
        <v>135000</v>
      </c>
      <c r="M619">
        <f t="shared" si="37"/>
        <v>105000</v>
      </c>
      <c r="N619">
        <f t="shared" si="38"/>
        <v>30000</v>
      </c>
      <c r="O619" s="2">
        <f t="shared" si="39"/>
        <v>0.22222222222222221</v>
      </c>
    </row>
    <row r="620" spans="1:15">
      <c r="A620" t="s">
        <v>1048</v>
      </c>
      <c r="B620" t="s">
        <v>1049</v>
      </c>
      <c r="C620" t="s">
        <v>101</v>
      </c>
      <c r="D620" t="s">
        <v>17</v>
      </c>
      <c r="E620" t="s">
        <v>54</v>
      </c>
      <c r="F620">
        <v>2</v>
      </c>
      <c r="G620">
        <v>7000</v>
      </c>
      <c r="H620" t="s">
        <v>25</v>
      </c>
      <c r="I620" t="str">
        <f>_xlfn.XLOOKUP(E620,'Products Master'!A:A,'Products Master'!B:B)</f>
        <v>Accessories</v>
      </c>
      <c r="J620">
        <f>_xlfn.XLOOKUP(E620,'Products Master'!A:A,'Products Master'!C:C)</f>
        <v>5000</v>
      </c>
      <c r="K620" t="str">
        <f>_xlfn.XLOOKUP(E620,'Products Master'!A:A,'Products Master'!D:D)</f>
        <v>Sony</v>
      </c>
      <c r="L620">
        <f t="shared" si="36"/>
        <v>14000</v>
      </c>
      <c r="M620">
        <f t="shared" si="37"/>
        <v>10000</v>
      </c>
      <c r="N620">
        <f t="shared" si="38"/>
        <v>4000</v>
      </c>
      <c r="O620" s="2">
        <f t="shared" si="39"/>
        <v>0.2857142857142857</v>
      </c>
    </row>
    <row r="621" spans="1:15">
      <c r="A621" t="s">
        <v>1050</v>
      </c>
      <c r="B621" t="s">
        <v>714</v>
      </c>
      <c r="C621" t="s">
        <v>107</v>
      </c>
      <c r="D621" t="s">
        <v>29</v>
      </c>
      <c r="E621" t="s">
        <v>49</v>
      </c>
      <c r="F621">
        <v>4</v>
      </c>
      <c r="G621">
        <v>9500</v>
      </c>
      <c r="H621" t="s">
        <v>66</v>
      </c>
      <c r="I621" t="str">
        <f>_xlfn.XLOOKUP(E621,'Products Master'!A:A,'Products Master'!B:B)</f>
        <v>Accessories</v>
      </c>
      <c r="J621">
        <f>_xlfn.XLOOKUP(E621,'Products Master'!A:A,'Products Master'!C:C)</f>
        <v>7000</v>
      </c>
      <c r="K621" t="str">
        <f>_xlfn.XLOOKUP(E621,'Products Master'!A:A,'Products Master'!D:D)</f>
        <v>Logitech</v>
      </c>
      <c r="L621">
        <f t="shared" si="36"/>
        <v>38000</v>
      </c>
      <c r="M621">
        <f t="shared" si="37"/>
        <v>28000</v>
      </c>
      <c r="N621">
        <f t="shared" si="38"/>
        <v>10000</v>
      </c>
      <c r="O621" s="2">
        <f t="shared" si="39"/>
        <v>0.26315789473684209</v>
      </c>
    </row>
    <row r="622" spans="1:15">
      <c r="A622" t="s">
        <v>1051</v>
      </c>
      <c r="B622" t="s">
        <v>1052</v>
      </c>
      <c r="C622" t="s">
        <v>233</v>
      </c>
      <c r="D622" t="s">
        <v>29</v>
      </c>
      <c r="E622" t="s">
        <v>35</v>
      </c>
      <c r="F622">
        <v>2</v>
      </c>
      <c r="G622">
        <v>2000</v>
      </c>
      <c r="H622" t="s">
        <v>95</v>
      </c>
      <c r="I622" t="str">
        <f>_xlfn.XLOOKUP(E622,'Products Master'!A:A,'Products Master'!B:B)</f>
        <v>Storage</v>
      </c>
      <c r="J622">
        <f>_xlfn.XLOOKUP(E622,'Products Master'!A:A,'Products Master'!C:C)</f>
        <v>1200</v>
      </c>
      <c r="K622" t="str">
        <f>_xlfn.XLOOKUP(E622,'Products Master'!A:A,'Products Master'!D:D)</f>
        <v>SanDisk</v>
      </c>
      <c r="L622">
        <f t="shared" si="36"/>
        <v>4000</v>
      </c>
      <c r="M622">
        <f t="shared" si="37"/>
        <v>2400</v>
      </c>
      <c r="N622">
        <f t="shared" si="38"/>
        <v>1600</v>
      </c>
      <c r="O622" s="2">
        <f t="shared" si="39"/>
        <v>0.4</v>
      </c>
    </row>
    <row r="623" spans="1:15">
      <c r="A623" t="s">
        <v>1053</v>
      </c>
      <c r="B623" t="s">
        <v>339</v>
      </c>
      <c r="C623" t="s">
        <v>382</v>
      </c>
      <c r="D623" t="s">
        <v>11</v>
      </c>
      <c r="E623" t="s">
        <v>99</v>
      </c>
      <c r="F623">
        <v>5</v>
      </c>
      <c r="G623">
        <v>5000</v>
      </c>
      <c r="H623" t="s">
        <v>13</v>
      </c>
      <c r="I623" t="str">
        <f>_xlfn.XLOOKUP(E623,'Products Master'!A:A,'Products Master'!B:B)</f>
        <v>Accessories</v>
      </c>
      <c r="J623">
        <f>_xlfn.XLOOKUP(E623,'Products Master'!A:A,'Products Master'!C:C)</f>
        <v>3500</v>
      </c>
      <c r="K623" t="str">
        <f>_xlfn.XLOOKUP(E623,'Products Master'!A:A,'Products Master'!D:D)</f>
        <v>Logitech</v>
      </c>
      <c r="L623">
        <f t="shared" si="36"/>
        <v>25000</v>
      </c>
      <c r="M623">
        <f t="shared" si="37"/>
        <v>17500</v>
      </c>
      <c r="N623">
        <f t="shared" si="38"/>
        <v>7500</v>
      </c>
      <c r="O623" s="2">
        <f t="shared" si="39"/>
        <v>0.3</v>
      </c>
    </row>
    <row r="624" spans="1:15">
      <c r="A624" t="s">
        <v>1054</v>
      </c>
      <c r="B624" t="s">
        <v>911</v>
      </c>
      <c r="C624" t="s">
        <v>69</v>
      </c>
      <c r="D624" t="s">
        <v>45</v>
      </c>
      <c r="E624" t="s">
        <v>40</v>
      </c>
      <c r="F624">
        <v>4</v>
      </c>
      <c r="G624">
        <v>60000</v>
      </c>
      <c r="H624" t="s">
        <v>19</v>
      </c>
      <c r="I624" t="str">
        <f>_xlfn.XLOOKUP(E624,'Products Master'!A:A,'Products Master'!B:B)</f>
        <v>Electronics</v>
      </c>
      <c r="J624">
        <f>_xlfn.XLOOKUP(E624,'Products Master'!A:A,'Products Master'!C:C)</f>
        <v>50000</v>
      </c>
      <c r="K624" t="str">
        <f>_xlfn.XLOOKUP(E624,'Products Master'!A:A,'Products Master'!D:D)</f>
        <v>LG</v>
      </c>
      <c r="L624">
        <f t="shared" si="36"/>
        <v>240000</v>
      </c>
      <c r="M624">
        <f t="shared" si="37"/>
        <v>200000</v>
      </c>
      <c r="N624">
        <f t="shared" si="38"/>
        <v>40000</v>
      </c>
      <c r="O624" s="2">
        <f t="shared" si="39"/>
        <v>0.16666666666666666</v>
      </c>
    </row>
    <row r="625" spans="1:15">
      <c r="A625" t="s">
        <v>1055</v>
      </c>
      <c r="B625" t="s">
        <v>822</v>
      </c>
      <c r="C625" t="s">
        <v>134</v>
      </c>
      <c r="D625" t="s">
        <v>17</v>
      </c>
      <c r="E625" t="s">
        <v>54</v>
      </c>
      <c r="F625">
        <v>1</v>
      </c>
      <c r="G625">
        <v>7000</v>
      </c>
      <c r="H625" t="s">
        <v>13</v>
      </c>
      <c r="I625" t="str">
        <f>_xlfn.XLOOKUP(E625,'Products Master'!A:A,'Products Master'!B:B)</f>
        <v>Accessories</v>
      </c>
      <c r="J625">
        <f>_xlfn.XLOOKUP(E625,'Products Master'!A:A,'Products Master'!C:C)</f>
        <v>5000</v>
      </c>
      <c r="K625" t="str">
        <f>_xlfn.XLOOKUP(E625,'Products Master'!A:A,'Products Master'!D:D)</f>
        <v>Sony</v>
      </c>
      <c r="L625">
        <f t="shared" si="36"/>
        <v>7000</v>
      </c>
      <c r="M625">
        <f t="shared" si="37"/>
        <v>5000</v>
      </c>
      <c r="N625">
        <f t="shared" si="38"/>
        <v>2000</v>
      </c>
      <c r="O625" s="2">
        <f t="shared" si="39"/>
        <v>0.2857142857142857</v>
      </c>
    </row>
    <row r="626" spans="1:15">
      <c r="A626" t="s">
        <v>1056</v>
      </c>
      <c r="B626" t="s">
        <v>1057</v>
      </c>
      <c r="C626" t="s">
        <v>209</v>
      </c>
      <c r="D626" t="s">
        <v>34</v>
      </c>
      <c r="E626" t="s">
        <v>35</v>
      </c>
      <c r="F626">
        <v>4</v>
      </c>
      <c r="G626">
        <v>2000</v>
      </c>
      <c r="H626" t="s">
        <v>30</v>
      </c>
      <c r="I626" t="str">
        <f>_xlfn.XLOOKUP(E626,'Products Master'!A:A,'Products Master'!B:B)</f>
        <v>Storage</v>
      </c>
      <c r="J626">
        <f>_xlfn.XLOOKUP(E626,'Products Master'!A:A,'Products Master'!C:C)</f>
        <v>1200</v>
      </c>
      <c r="K626" t="str">
        <f>_xlfn.XLOOKUP(E626,'Products Master'!A:A,'Products Master'!D:D)</f>
        <v>SanDisk</v>
      </c>
      <c r="L626">
        <f t="shared" si="36"/>
        <v>8000</v>
      </c>
      <c r="M626">
        <f t="shared" si="37"/>
        <v>4800</v>
      </c>
      <c r="N626">
        <f t="shared" si="38"/>
        <v>3200</v>
      </c>
      <c r="O626" s="2">
        <f t="shared" si="39"/>
        <v>0.4</v>
      </c>
    </row>
    <row r="627" spans="1:15">
      <c r="A627" t="s">
        <v>1058</v>
      </c>
      <c r="B627" t="s">
        <v>573</v>
      </c>
      <c r="C627" t="s">
        <v>201</v>
      </c>
      <c r="D627" t="s">
        <v>111</v>
      </c>
      <c r="E627" t="s">
        <v>40</v>
      </c>
      <c r="F627">
        <v>5</v>
      </c>
      <c r="G627">
        <v>60000</v>
      </c>
      <c r="H627" t="s">
        <v>36</v>
      </c>
      <c r="I627" t="str">
        <f>_xlfn.XLOOKUP(E627,'Products Master'!A:A,'Products Master'!B:B)</f>
        <v>Electronics</v>
      </c>
      <c r="J627">
        <f>_xlfn.XLOOKUP(E627,'Products Master'!A:A,'Products Master'!C:C)</f>
        <v>50000</v>
      </c>
      <c r="K627" t="str">
        <f>_xlfn.XLOOKUP(E627,'Products Master'!A:A,'Products Master'!D:D)</f>
        <v>LG</v>
      </c>
      <c r="L627">
        <f t="shared" si="36"/>
        <v>300000</v>
      </c>
      <c r="M627">
        <f t="shared" si="37"/>
        <v>250000</v>
      </c>
      <c r="N627">
        <f t="shared" si="38"/>
        <v>50000</v>
      </c>
      <c r="O627" s="2">
        <f t="shared" si="39"/>
        <v>0.16666666666666666</v>
      </c>
    </row>
    <row r="628" spans="1:15">
      <c r="A628" t="s">
        <v>1059</v>
      </c>
      <c r="B628" t="s">
        <v>461</v>
      </c>
      <c r="C628" t="s">
        <v>167</v>
      </c>
      <c r="D628" t="s">
        <v>111</v>
      </c>
      <c r="E628" t="s">
        <v>18</v>
      </c>
      <c r="F628">
        <v>1</v>
      </c>
      <c r="G628">
        <v>45000</v>
      </c>
      <c r="H628" t="s">
        <v>13</v>
      </c>
      <c r="I628" t="str">
        <f>_xlfn.XLOOKUP(E628,'Products Master'!A:A,'Products Master'!B:B)</f>
        <v>Electronics</v>
      </c>
      <c r="J628">
        <f>_xlfn.XLOOKUP(E628,'Products Master'!A:A,'Products Master'!C:C)</f>
        <v>35000</v>
      </c>
      <c r="K628" t="str">
        <f>_xlfn.XLOOKUP(E628,'Products Master'!A:A,'Products Master'!D:D)</f>
        <v>HP</v>
      </c>
      <c r="L628">
        <f t="shared" si="36"/>
        <v>45000</v>
      </c>
      <c r="M628">
        <f t="shared" si="37"/>
        <v>35000</v>
      </c>
      <c r="N628">
        <f t="shared" si="38"/>
        <v>10000</v>
      </c>
      <c r="O628" s="2">
        <f t="shared" si="39"/>
        <v>0.22222222222222221</v>
      </c>
    </row>
    <row r="629" spans="1:15">
      <c r="A629" t="s">
        <v>1060</v>
      </c>
      <c r="B629" t="s">
        <v>1061</v>
      </c>
      <c r="C629" t="s">
        <v>173</v>
      </c>
      <c r="D629" t="s">
        <v>34</v>
      </c>
      <c r="E629" t="s">
        <v>54</v>
      </c>
      <c r="F629">
        <v>3</v>
      </c>
      <c r="G629">
        <v>7000</v>
      </c>
      <c r="H629" t="s">
        <v>50</v>
      </c>
      <c r="I629" t="str">
        <f>_xlfn.XLOOKUP(E629,'Products Master'!A:A,'Products Master'!B:B)</f>
        <v>Accessories</v>
      </c>
      <c r="J629">
        <f>_xlfn.XLOOKUP(E629,'Products Master'!A:A,'Products Master'!C:C)</f>
        <v>5000</v>
      </c>
      <c r="K629" t="str">
        <f>_xlfn.XLOOKUP(E629,'Products Master'!A:A,'Products Master'!D:D)</f>
        <v>Sony</v>
      </c>
      <c r="L629">
        <f t="shared" si="36"/>
        <v>21000</v>
      </c>
      <c r="M629">
        <f t="shared" si="37"/>
        <v>15000</v>
      </c>
      <c r="N629">
        <f t="shared" si="38"/>
        <v>6000</v>
      </c>
      <c r="O629" s="2">
        <f t="shared" si="39"/>
        <v>0.2857142857142857</v>
      </c>
    </row>
    <row r="630" spans="1:15">
      <c r="A630" t="s">
        <v>1062</v>
      </c>
      <c r="B630" t="s">
        <v>717</v>
      </c>
      <c r="C630" t="s">
        <v>731</v>
      </c>
      <c r="D630" t="s">
        <v>11</v>
      </c>
      <c r="E630" t="s">
        <v>179</v>
      </c>
      <c r="F630">
        <v>5</v>
      </c>
      <c r="G630">
        <v>80000</v>
      </c>
      <c r="H630" t="s">
        <v>25</v>
      </c>
      <c r="I630" t="str">
        <f>_xlfn.XLOOKUP(E630,'Products Master'!A:A,'Products Master'!B:B)</f>
        <v>Electronics</v>
      </c>
      <c r="J630">
        <f>_xlfn.XLOOKUP(E630,'Products Master'!A:A,'Products Master'!C:C)</f>
        <v>65000</v>
      </c>
      <c r="K630" t="str">
        <f>_xlfn.XLOOKUP(E630,'Products Master'!A:A,'Products Master'!D:D)</f>
        <v>Samsung</v>
      </c>
      <c r="L630">
        <f t="shared" si="36"/>
        <v>400000</v>
      </c>
      <c r="M630">
        <f t="shared" si="37"/>
        <v>325000</v>
      </c>
      <c r="N630">
        <f t="shared" si="38"/>
        <v>75000</v>
      </c>
      <c r="O630" s="2">
        <f t="shared" si="39"/>
        <v>0.1875</v>
      </c>
    </row>
    <row r="631" spans="1:15">
      <c r="A631" t="s">
        <v>1063</v>
      </c>
      <c r="B631" t="s">
        <v>1064</v>
      </c>
      <c r="C631" t="s">
        <v>831</v>
      </c>
      <c r="D631" t="s">
        <v>29</v>
      </c>
      <c r="E631" t="s">
        <v>124</v>
      </c>
      <c r="F631">
        <v>4</v>
      </c>
      <c r="G631">
        <v>18000</v>
      </c>
      <c r="H631" t="s">
        <v>25</v>
      </c>
      <c r="I631" t="str">
        <f>_xlfn.XLOOKUP(E631,'Products Master'!A:A,'Products Master'!B:B)</f>
        <v>Storage</v>
      </c>
      <c r="J631">
        <f>_xlfn.XLOOKUP(E631,'Products Master'!A:A,'Products Master'!C:C)</f>
        <v>12000</v>
      </c>
      <c r="K631" t="str">
        <f>_xlfn.XLOOKUP(E631,'Products Master'!A:A,'Products Master'!D:D)</f>
        <v>Kingston</v>
      </c>
      <c r="L631">
        <f t="shared" si="36"/>
        <v>72000</v>
      </c>
      <c r="M631">
        <f t="shared" si="37"/>
        <v>48000</v>
      </c>
      <c r="N631">
        <f t="shared" si="38"/>
        <v>24000</v>
      </c>
      <c r="O631" s="2">
        <f t="shared" si="39"/>
        <v>0.33333333333333331</v>
      </c>
    </row>
    <row r="632" spans="1:15">
      <c r="A632" t="s">
        <v>1065</v>
      </c>
      <c r="B632" t="s">
        <v>193</v>
      </c>
      <c r="C632" t="s">
        <v>491</v>
      </c>
      <c r="D632" t="s">
        <v>29</v>
      </c>
      <c r="E632" t="s">
        <v>35</v>
      </c>
      <c r="F632">
        <v>3</v>
      </c>
      <c r="G632">
        <v>2000</v>
      </c>
      <c r="H632" t="s">
        <v>41</v>
      </c>
      <c r="I632" t="str">
        <f>_xlfn.XLOOKUP(E632,'Products Master'!A:A,'Products Master'!B:B)</f>
        <v>Storage</v>
      </c>
      <c r="J632">
        <f>_xlfn.XLOOKUP(E632,'Products Master'!A:A,'Products Master'!C:C)</f>
        <v>1200</v>
      </c>
      <c r="K632" t="str">
        <f>_xlfn.XLOOKUP(E632,'Products Master'!A:A,'Products Master'!D:D)</f>
        <v>SanDisk</v>
      </c>
      <c r="L632">
        <f t="shared" si="36"/>
        <v>6000</v>
      </c>
      <c r="M632">
        <f t="shared" si="37"/>
        <v>3600</v>
      </c>
      <c r="N632">
        <f t="shared" si="38"/>
        <v>2400</v>
      </c>
      <c r="O632" s="2">
        <f t="shared" si="39"/>
        <v>0.4</v>
      </c>
    </row>
    <row r="633" spans="1:15">
      <c r="A633" t="s">
        <v>1066</v>
      </c>
      <c r="B633" t="s">
        <v>1067</v>
      </c>
      <c r="C633" t="s">
        <v>189</v>
      </c>
      <c r="D633" t="s">
        <v>34</v>
      </c>
      <c r="E633" t="s">
        <v>99</v>
      </c>
      <c r="F633">
        <v>5</v>
      </c>
      <c r="G633">
        <v>5000</v>
      </c>
      <c r="H633" t="s">
        <v>25</v>
      </c>
      <c r="I633" t="str">
        <f>_xlfn.XLOOKUP(E633,'Products Master'!A:A,'Products Master'!B:B)</f>
        <v>Accessories</v>
      </c>
      <c r="J633">
        <f>_xlfn.XLOOKUP(E633,'Products Master'!A:A,'Products Master'!C:C)</f>
        <v>3500</v>
      </c>
      <c r="K633" t="str">
        <f>_xlfn.XLOOKUP(E633,'Products Master'!A:A,'Products Master'!D:D)</f>
        <v>Logitech</v>
      </c>
      <c r="L633">
        <f t="shared" si="36"/>
        <v>25000</v>
      </c>
      <c r="M633">
        <f t="shared" si="37"/>
        <v>17500</v>
      </c>
      <c r="N633">
        <f t="shared" si="38"/>
        <v>7500</v>
      </c>
      <c r="O633" s="2">
        <f t="shared" si="39"/>
        <v>0.3</v>
      </c>
    </row>
    <row r="634" spans="1:15">
      <c r="A634" t="s">
        <v>1068</v>
      </c>
      <c r="B634" t="s">
        <v>1004</v>
      </c>
      <c r="C634" t="s">
        <v>88</v>
      </c>
      <c r="D634" t="s">
        <v>11</v>
      </c>
      <c r="E634" t="s">
        <v>124</v>
      </c>
      <c r="F634">
        <v>4</v>
      </c>
      <c r="G634">
        <v>18000</v>
      </c>
      <c r="H634" t="s">
        <v>50</v>
      </c>
      <c r="I634" t="str">
        <f>_xlfn.XLOOKUP(E634,'Products Master'!A:A,'Products Master'!B:B)</f>
        <v>Storage</v>
      </c>
      <c r="J634">
        <f>_xlfn.XLOOKUP(E634,'Products Master'!A:A,'Products Master'!C:C)</f>
        <v>12000</v>
      </c>
      <c r="K634" t="str">
        <f>_xlfn.XLOOKUP(E634,'Products Master'!A:A,'Products Master'!D:D)</f>
        <v>Kingston</v>
      </c>
      <c r="L634">
        <f t="shared" si="36"/>
        <v>72000</v>
      </c>
      <c r="M634">
        <f t="shared" si="37"/>
        <v>48000</v>
      </c>
      <c r="N634">
        <f t="shared" si="38"/>
        <v>24000</v>
      </c>
      <c r="O634" s="2">
        <f t="shared" si="39"/>
        <v>0.33333333333333331</v>
      </c>
    </row>
    <row r="635" spans="1:15">
      <c r="A635" t="s">
        <v>1069</v>
      </c>
      <c r="B635" t="s">
        <v>196</v>
      </c>
      <c r="C635" t="s">
        <v>394</v>
      </c>
      <c r="D635" t="s">
        <v>34</v>
      </c>
      <c r="E635" t="s">
        <v>12</v>
      </c>
      <c r="F635">
        <v>2</v>
      </c>
      <c r="G635">
        <v>150000</v>
      </c>
      <c r="H635" t="s">
        <v>41</v>
      </c>
      <c r="I635" t="str">
        <f>_xlfn.XLOOKUP(E635,'Products Master'!A:A,'Products Master'!B:B)</f>
        <v>Electronics</v>
      </c>
      <c r="J635">
        <f>_xlfn.XLOOKUP(E635,'Products Master'!A:A,'Products Master'!C:C)</f>
        <v>120000</v>
      </c>
      <c r="K635" t="str">
        <f>_xlfn.XLOOKUP(E635,'Products Master'!A:A,'Products Master'!D:D)</f>
        <v>Dell</v>
      </c>
      <c r="L635">
        <f t="shared" si="36"/>
        <v>300000</v>
      </c>
      <c r="M635">
        <f t="shared" si="37"/>
        <v>240000</v>
      </c>
      <c r="N635">
        <f t="shared" si="38"/>
        <v>60000</v>
      </c>
      <c r="O635" s="2">
        <f t="shared" si="39"/>
        <v>0.2</v>
      </c>
    </row>
    <row r="636" spans="1:15">
      <c r="A636" t="s">
        <v>1070</v>
      </c>
      <c r="B636" t="s">
        <v>332</v>
      </c>
      <c r="C636" t="s">
        <v>101</v>
      </c>
      <c r="D636" t="s">
        <v>111</v>
      </c>
      <c r="E636" t="s">
        <v>54</v>
      </c>
      <c r="F636">
        <v>3</v>
      </c>
      <c r="G636">
        <v>7000</v>
      </c>
      <c r="H636" t="s">
        <v>13</v>
      </c>
      <c r="I636" t="str">
        <f>_xlfn.XLOOKUP(E636,'Products Master'!A:A,'Products Master'!B:B)</f>
        <v>Accessories</v>
      </c>
      <c r="J636">
        <f>_xlfn.XLOOKUP(E636,'Products Master'!A:A,'Products Master'!C:C)</f>
        <v>5000</v>
      </c>
      <c r="K636" t="str">
        <f>_xlfn.XLOOKUP(E636,'Products Master'!A:A,'Products Master'!D:D)</f>
        <v>Sony</v>
      </c>
      <c r="L636">
        <f t="shared" si="36"/>
        <v>21000</v>
      </c>
      <c r="M636">
        <f t="shared" si="37"/>
        <v>15000</v>
      </c>
      <c r="N636">
        <f t="shared" si="38"/>
        <v>6000</v>
      </c>
      <c r="O636" s="2">
        <f t="shared" si="39"/>
        <v>0.2857142857142857</v>
      </c>
    </row>
    <row r="637" spans="1:15">
      <c r="A637" t="s">
        <v>1071</v>
      </c>
      <c r="B637" t="s">
        <v>43</v>
      </c>
      <c r="C637" t="s">
        <v>176</v>
      </c>
      <c r="D637" t="s">
        <v>45</v>
      </c>
      <c r="E637" t="s">
        <v>179</v>
      </c>
      <c r="F637">
        <v>5</v>
      </c>
      <c r="G637">
        <v>80000</v>
      </c>
      <c r="H637" t="s">
        <v>30</v>
      </c>
      <c r="I637" t="str">
        <f>_xlfn.XLOOKUP(E637,'Products Master'!A:A,'Products Master'!B:B)</f>
        <v>Electronics</v>
      </c>
      <c r="J637">
        <f>_xlfn.XLOOKUP(E637,'Products Master'!A:A,'Products Master'!C:C)</f>
        <v>65000</v>
      </c>
      <c r="K637" t="str">
        <f>_xlfn.XLOOKUP(E637,'Products Master'!A:A,'Products Master'!D:D)</f>
        <v>Samsung</v>
      </c>
      <c r="L637">
        <f t="shared" si="36"/>
        <v>400000</v>
      </c>
      <c r="M637">
        <f t="shared" si="37"/>
        <v>325000</v>
      </c>
      <c r="N637">
        <f t="shared" si="38"/>
        <v>75000</v>
      </c>
      <c r="O637" s="2">
        <f t="shared" si="39"/>
        <v>0.1875</v>
      </c>
    </row>
    <row r="638" spans="1:15">
      <c r="A638" t="s">
        <v>1072</v>
      </c>
      <c r="B638" t="s">
        <v>93</v>
      </c>
      <c r="C638" t="s">
        <v>394</v>
      </c>
      <c r="D638" t="s">
        <v>29</v>
      </c>
      <c r="E638" t="s">
        <v>18</v>
      </c>
      <c r="F638">
        <v>5</v>
      </c>
      <c r="G638">
        <v>45000</v>
      </c>
      <c r="H638" t="s">
        <v>116</v>
      </c>
      <c r="I638" t="str">
        <f>_xlfn.XLOOKUP(E638,'Products Master'!A:A,'Products Master'!B:B)</f>
        <v>Electronics</v>
      </c>
      <c r="J638">
        <f>_xlfn.XLOOKUP(E638,'Products Master'!A:A,'Products Master'!C:C)</f>
        <v>35000</v>
      </c>
      <c r="K638" t="str">
        <f>_xlfn.XLOOKUP(E638,'Products Master'!A:A,'Products Master'!D:D)</f>
        <v>HP</v>
      </c>
      <c r="L638">
        <f t="shared" si="36"/>
        <v>225000</v>
      </c>
      <c r="M638">
        <f t="shared" si="37"/>
        <v>175000</v>
      </c>
      <c r="N638">
        <f t="shared" si="38"/>
        <v>50000</v>
      </c>
      <c r="O638" s="2">
        <f t="shared" si="39"/>
        <v>0.22222222222222221</v>
      </c>
    </row>
    <row r="639" spans="1:15">
      <c r="A639" t="s">
        <v>1073</v>
      </c>
      <c r="B639" t="s">
        <v>280</v>
      </c>
      <c r="C639" t="s">
        <v>33</v>
      </c>
      <c r="D639" t="s">
        <v>11</v>
      </c>
      <c r="E639" t="s">
        <v>99</v>
      </c>
      <c r="F639">
        <v>2</v>
      </c>
      <c r="G639">
        <v>5000</v>
      </c>
      <c r="H639" t="s">
        <v>13</v>
      </c>
      <c r="I639" t="str">
        <f>_xlfn.XLOOKUP(E639,'Products Master'!A:A,'Products Master'!B:B)</f>
        <v>Accessories</v>
      </c>
      <c r="J639">
        <f>_xlfn.XLOOKUP(E639,'Products Master'!A:A,'Products Master'!C:C)</f>
        <v>3500</v>
      </c>
      <c r="K639" t="str">
        <f>_xlfn.XLOOKUP(E639,'Products Master'!A:A,'Products Master'!D:D)</f>
        <v>Logitech</v>
      </c>
      <c r="L639">
        <f t="shared" si="36"/>
        <v>10000</v>
      </c>
      <c r="M639">
        <f t="shared" si="37"/>
        <v>7000</v>
      </c>
      <c r="N639">
        <f t="shared" si="38"/>
        <v>3000</v>
      </c>
      <c r="O639" s="2">
        <f t="shared" si="39"/>
        <v>0.3</v>
      </c>
    </row>
    <row r="640" spans="1:15">
      <c r="A640" t="s">
        <v>1074</v>
      </c>
      <c r="B640" t="s">
        <v>352</v>
      </c>
      <c r="C640" t="s">
        <v>186</v>
      </c>
      <c r="D640" t="s">
        <v>34</v>
      </c>
      <c r="E640" t="s">
        <v>24</v>
      </c>
      <c r="F640">
        <v>5</v>
      </c>
      <c r="G640">
        <v>2500</v>
      </c>
      <c r="H640" t="s">
        <v>19</v>
      </c>
      <c r="I640" t="str">
        <f>_xlfn.XLOOKUP(E640,'Products Master'!A:A,'Products Master'!B:B)</f>
        <v>Accessories</v>
      </c>
      <c r="J640">
        <f>_xlfn.XLOOKUP(E640,'Products Master'!A:A,'Products Master'!C:C)</f>
        <v>1500</v>
      </c>
      <c r="K640" t="str">
        <f>_xlfn.XLOOKUP(E640,'Products Master'!A:A,'Products Master'!D:D)</f>
        <v>Logitech</v>
      </c>
      <c r="L640">
        <f t="shared" si="36"/>
        <v>12500</v>
      </c>
      <c r="M640">
        <f t="shared" si="37"/>
        <v>7500</v>
      </c>
      <c r="N640">
        <f t="shared" si="38"/>
        <v>5000</v>
      </c>
      <c r="O640" s="2">
        <f t="shared" si="39"/>
        <v>0.4</v>
      </c>
    </row>
    <row r="641" spans="1:15">
      <c r="A641" t="s">
        <v>1075</v>
      </c>
      <c r="B641" t="s">
        <v>366</v>
      </c>
      <c r="C641" t="s">
        <v>476</v>
      </c>
      <c r="D641" t="s">
        <v>115</v>
      </c>
      <c r="E641" t="s">
        <v>179</v>
      </c>
      <c r="F641">
        <v>4</v>
      </c>
      <c r="G641">
        <v>80000</v>
      </c>
      <c r="H641" t="s">
        <v>95</v>
      </c>
      <c r="I641" t="str">
        <f>_xlfn.XLOOKUP(E641,'Products Master'!A:A,'Products Master'!B:B)</f>
        <v>Electronics</v>
      </c>
      <c r="J641">
        <f>_xlfn.XLOOKUP(E641,'Products Master'!A:A,'Products Master'!C:C)</f>
        <v>65000</v>
      </c>
      <c r="K641" t="str">
        <f>_xlfn.XLOOKUP(E641,'Products Master'!A:A,'Products Master'!D:D)</f>
        <v>Samsung</v>
      </c>
      <c r="L641">
        <f t="shared" si="36"/>
        <v>320000</v>
      </c>
      <c r="M641">
        <f t="shared" si="37"/>
        <v>260000</v>
      </c>
      <c r="N641">
        <f t="shared" si="38"/>
        <v>60000</v>
      </c>
      <c r="O641" s="2">
        <f t="shared" si="39"/>
        <v>0.1875</v>
      </c>
    </row>
    <row r="642" spans="1:15">
      <c r="A642" t="s">
        <v>1076</v>
      </c>
      <c r="B642" t="s">
        <v>164</v>
      </c>
      <c r="C642" t="s">
        <v>152</v>
      </c>
      <c r="D642" t="s">
        <v>11</v>
      </c>
      <c r="E642" t="s">
        <v>99</v>
      </c>
      <c r="F642">
        <v>4</v>
      </c>
      <c r="G642">
        <v>5000</v>
      </c>
      <c r="H642" t="s">
        <v>30</v>
      </c>
      <c r="I642" t="str">
        <f>_xlfn.XLOOKUP(E642,'Products Master'!A:A,'Products Master'!B:B)</f>
        <v>Accessories</v>
      </c>
      <c r="J642">
        <f>_xlfn.XLOOKUP(E642,'Products Master'!A:A,'Products Master'!C:C)</f>
        <v>3500</v>
      </c>
      <c r="K642" t="str">
        <f>_xlfn.XLOOKUP(E642,'Products Master'!A:A,'Products Master'!D:D)</f>
        <v>Logitech</v>
      </c>
      <c r="L642">
        <f t="shared" si="36"/>
        <v>20000</v>
      </c>
      <c r="M642">
        <f t="shared" si="37"/>
        <v>14000</v>
      </c>
      <c r="N642">
        <f t="shared" si="38"/>
        <v>6000</v>
      </c>
      <c r="O642" s="2">
        <f t="shared" si="39"/>
        <v>0.3</v>
      </c>
    </row>
    <row r="643" spans="1:15">
      <c r="A643" t="s">
        <v>1077</v>
      </c>
      <c r="B643" t="s">
        <v>980</v>
      </c>
      <c r="C643" t="s">
        <v>230</v>
      </c>
      <c r="D643" t="s">
        <v>45</v>
      </c>
      <c r="E643" t="s">
        <v>18</v>
      </c>
      <c r="F643">
        <v>5</v>
      </c>
      <c r="G643">
        <v>45000</v>
      </c>
      <c r="H643" t="s">
        <v>66</v>
      </c>
      <c r="I643" t="str">
        <f>_xlfn.XLOOKUP(E643,'Products Master'!A:A,'Products Master'!B:B)</f>
        <v>Electronics</v>
      </c>
      <c r="J643">
        <f>_xlfn.XLOOKUP(E643,'Products Master'!A:A,'Products Master'!C:C)</f>
        <v>35000</v>
      </c>
      <c r="K643" t="str">
        <f>_xlfn.XLOOKUP(E643,'Products Master'!A:A,'Products Master'!D:D)</f>
        <v>HP</v>
      </c>
      <c r="L643">
        <f t="shared" ref="L643:L706" si="40">F643*G643</f>
        <v>225000</v>
      </c>
      <c r="M643">
        <f t="shared" ref="M643:M706" si="41">F643*J643</f>
        <v>175000</v>
      </c>
      <c r="N643">
        <f t="shared" ref="N643:N706" si="42">L643-M643</f>
        <v>50000</v>
      </c>
      <c r="O643" s="2">
        <f t="shared" ref="O643:O706" si="43">N643/L643</f>
        <v>0.22222222222222221</v>
      </c>
    </row>
    <row r="644" spans="1:15">
      <c r="A644" t="s">
        <v>1078</v>
      </c>
      <c r="B644" t="s">
        <v>1079</v>
      </c>
      <c r="C644" t="s">
        <v>88</v>
      </c>
      <c r="D644" t="s">
        <v>29</v>
      </c>
      <c r="E644" t="s">
        <v>179</v>
      </c>
      <c r="F644">
        <v>4</v>
      </c>
      <c r="G644">
        <v>80000</v>
      </c>
      <c r="H644" t="s">
        <v>66</v>
      </c>
      <c r="I644" t="str">
        <f>_xlfn.XLOOKUP(E644,'Products Master'!A:A,'Products Master'!B:B)</f>
        <v>Electronics</v>
      </c>
      <c r="J644">
        <f>_xlfn.XLOOKUP(E644,'Products Master'!A:A,'Products Master'!C:C)</f>
        <v>65000</v>
      </c>
      <c r="K644" t="str">
        <f>_xlfn.XLOOKUP(E644,'Products Master'!A:A,'Products Master'!D:D)</f>
        <v>Samsung</v>
      </c>
      <c r="L644">
        <f t="shared" si="40"/>
        <v>320000</v>
      </c>
      <c r="M644">
        <f t="shared" si="41"/>
        <v>260000</v>
      </c>
      <c r="N644">
        <f t="shared" si="42"/>
        <v>60000</v>
      </c>
      <c r="O644" s="2">
        <f t="shared" si="43"/>
        <v>0.1875</v>
      </c>
    </row>
    <row r="645" spans="1:15">
      <c r="A645" t="s">
        <v>1080</v>
      </c>
      <c r="B645" t="s">
        <v>523</v>
      </c>
      <c r="C645" t="s">
        <v>729</v>
      </c>
      <c r="D645" t="s">
        <v>115</v>
      </c>
      <c r="E645" t="s">
        <v>54</v>
      </c>
      <c r="F645">
        <v>5</v>
      </c>
      <c r="G645">
        <v>7000</v>
      </c>
      <c r="H645" t="s">
        <v>66</v>
      </c>
      <c r="I645" t="str">
        <f>_xlfn.XLOOKUP(E645,'Products Master'!A:A,'Products Master'!B:B)</f>
        <v>Accessories</v>
      </c>
      <c r="J645">
        <f>_xlfn.XLOOKUP(E645,'Products Master'!A:A,'Products Master'!C:C)</f>
        <v>5000</v>
      </c>
      <c r="K645" t="str">
        <f>_xlfn.XLOOKUP(E645,'Products Master'!A:A,'Products Master'!D:D)</f>
        <v>Sony</v>
      </c>
      <c r="L645">
        <f t="shared" si="40"/>
        <v>35000</v>
      </c>
      <c r="M645">
        <f t="shared" si="41"/>
        <v>25000</v>
      </c>
      <c r="N645">
        <f t="shared" si="42"/>
        <v>10000</v>
      </c>
      <c r="O645" s="2">
        <f t="shared" si="43"/>
        <v>0.2857142857142857</v>
      </c>
    </row>
    <row r="646" spans="1:15">
      <c r="A646" t="s">
        <v>1081</v>
      </c>
      <c r="B646" t="s">
        <v>897</v>
      </c>
      <c r="C646" t="s">
        <v>731</v>
      </c>
      <c r="D646" t="s">
        <v>34</v>
      </c>
      <c r="E646" t="s">
        <v>179</v>
      </c>
      <c r="F646">
        <v>5</v>
      </c>
      <c r="G646">
        <v>80000</v>
      </c>
      <c r="H646" t="s">
        <v>95</v>
      </c>
      <c r="I646" t="str">
        <f>_xlfn.XLOOKUP(E646,'Products Master'!A:A,'Products Master'!B:B)</f>
        <v>Electronics</v>
      </c>
      <c r="J646">
        <f>_xlfn.XLOOKUP(E646,'Products Master'!A:A,'Products Master'!C:C)</f>
        <v>65000</v>
      </c>
      <c r="K646" t="str">
        <f>_xlfn.XLOOKUP(E646,'Products Master'!A:A,'Products Master'!D:D)</f>
        <v>Samsung</v>
      </c>
      <c r="L646">
        <f t="shared" si="40"/>
        <v>400000</v>
      </c>
      <c r="M646">
        <f t="shared" si="41"/>
        <v>325000</v>
      </c>
      <c r="N646">
        <f t="shared" si="42"/>
        <v>75000</v>
      </c>
      <c r="O646" s="2">
        <f t="shared" si="43"/>
        <v>0.1875</v>
      </c>
    </row>
    <row r="647" spans="1:15">
      <c r="A647" t="s">
        <v>1082</v>
      </c>
      <c r="B647" t="s">
        <v>121</v>
      </c>
      <c r="C647" t="s">
        <v>263</v>
      </c>
      <c r="D647" t="s">
        <v>115</v>
      </c>
      <c r="E647" t="s">
        <v>12</v>
      </c>
      <c r="F647">
        <v>4</v>
      </c>
      <c r="G647">
        <v>150000</v>
      </c>
      <c r="H647" t="s">
        <v>25</v>
      </c>
      <c r="I647" t="str">
        <f>_xlfn.XLOOKUP(E647,'Products Master'!A:A,'Products Master'!B:B)</f>
        <v>Electronics</v>
      </c>
      <c r="J647">
        <f>_xlfn.XLOOKUP(E647,'Products Master'!A:A,'Products Master'!C:C)</f>
        <v>120000</v>
      </c>
      <c r="K647" t="str">
        <f>_xlfn.XLOOKUP(E647,'Products Master'!A:A,'Products Master'!D:D)</f>
        <v>Dell</v>
      </c>
      <c r="L647">
        <f t="shared" si="40"/>
        <v>600000</v>
      </c>
      <c r="M647">
        <f t="shared" si="41"/>
        <v>480000</v>
      </c>
      <c r="N647">
        <f t="shared" si="42"/>
        <v>120000</v>
      </c>
      <c r="O647" s="2">
        <f t="shared" si="43"/>
        <v>0.2</v>
      </c>
    </row>
    <row r="648" spans="1:15">
      <c r="A648" t="s">
        <v>1083</v>
      </c>
      <c r="B648" t="s">
        <v>1084</v>
      </c>
      <c r="C648" t="s">
        <v>28</v>
      </c>
      <c r="D648" t="s">
        <v>45</v>
      </c>
      <c r="E648" t="s">
        <v>99</v>
      </c>
      <c r="F648">
        <v>2</v>
      </c>
      <c r="G648">
        <v>5000</v>
      </c>
      <c r="H648" t="s">
        <v>13</v>
      </c>
      <c r="I648" t="str">
        <f>_xlfn.XLOOKUP(E648,'Products Master'!A:A,'Products Master'!B:B)</f>
        <v>Accessories</v>
      </c>
      <c r="J648">
        <f>_xlfn.XLOOKUP(E648,'Products Master'!A:A,'Products Master'!C:C)</f>
        <v>3500</v>
      </c>
      <c r="K648" t="str">
        <f>_xlfn.XLOOKUP(E648,'Products Master'!A:A,'Products Master'!D:D)</f>
        <v>Logitech</v>
      </c>
      <c r="L648">
        <f t="shared" si="40"/>
        <v>10000</v>
      </c>
      <c r="M648">
        <f t="shared" si="41"/>
        <v>7000</v>
      </c>
      <c r="N648">
        <f t="shared" si="42"/>
        <v>3000</v>
      </c>
      <c r="O648" s="2">
        <f t="shared" si="43"/>
        <v>0.3</v>
      </c>
    </row>
    <row r="649" spans="1:15">
      <c r="A649" t="s">
        <v>1085</v>
      </c>
      <c r="B649" t="s">
        <v>1086</v>
      </c>
      <c r="C649" t="s">
        <v>370</v>
      </c>
      <c r="D649" t="s">
        <v>23</v>
      </c>
      <c r="E649" t="s">
        <v>124</v>
      </c>
      <c r="F649">
        <v>2</v>
      </c>
      <c r="G649">
        <v>18000</v>
      </c>
      <c r="H649" t="s">
        <v>36</v>
      </c>
      <c r="I649" t="str">
        <f>_xlfn.XLOOKUP(E649,'Products Master'!A:A,'Products Master'!B:B)</f>
        <v>Storage</v>
      </c>
      <c r="J649">
        <f>_xlfn.XLOOKUP(E649,'Products Master'!A:A,'Products Master'!C:C)</f>
        <v>12000</v>
      </c>
      <c r="K649" t="str">
        <f>_xlfn.XLOOKUP(E649,'Products Master'!A:A,'Products Master'!D:D)</f>
        <v>Kingston</v>
      </c>
      <c r="L649">
        <f t="shared" si="40"/>
        <v>36000</v>
      </c>
      <c r="M649">
        <f t="shared" si="41"/>
        <v>24000</v>
      </c>
      <c r="N649">
        <f t="shared" si="42"/>
        <v>12000</v>
      </c>
      <c r="O649" s="2">
        <f t="shared" si="43"/>
        <v>0.33333333333333331</v>
      </c>
    </row>
    <row r="650" spans="1:15">
      <c r="A650" t="s">
        <v>1087</v>
      </c>
      <c r="B650" t="s">
        <v>196</v>
      </c>
      <c r="C650" t="s">
        <v>614</v>
      </c>
      <c r="D650" t="s">
        <v>115</v>
      </c>
      <c r="E650" t="s">
        <v>24</v>
      </c>
      <c r="F650">
        <v>1</v>
      </c>
      <c r="G650">
        <v>2500</v>
      </c>
      <c r="H650" t="s">
        <v>116</v>
      </c>
      <c r="I650" t="str">
        <f>_xlfn.XLOOKUP(E650,'Products Master'!A:A,'Products Master'!B:B)</f>
        <v>Accessories</v>
      </c>
      <c r="J650">
        <f>_xlfn.XLOOKUP(E650,'Products Master'!A:A,'Products Master'!C:C)</f>
        <v>1500</v>
      </c>
      <c r="K650" t="str">
        <f>_xlfn.XLOOKUP(E650,'Products Master'!A:A,'Products Master'!D:D)</f>
        <v>Logitech</v>
      </c>
      <c r="L650">
        <f t="shared" si="40"/>
        <v>2500</v>
      </c>
      <c r="M650">
        <f t="shared" si="41"/>
        <v>1500</v>
      </c>
      <c r="N650">
        <f t="shared" si="42"/>
        <v>1000</v>
      </c>
      <c r="O650" s="2">
        <f t="shared" si="43"/>
        <v>0.4</v>
      </c>
    </row>
    <row r="651" spans="1:15">
      <c r="A651" t="s">
        <v>1088</v>
      </c>
      <c r="B651" t="s">
        <v>911</v>
      </c>
      <c r="C651" t="s">
        <v>382</v>
      </c>
      <c r="D651" t="s">
        <v>115</v>
      </c>
      <c r="E651" t="s">
        <v>18</v>
      </c>
      <c r="F651">
        <v>3</v>
      </c>
      <c r="G651">
        <v>45000</v>
      </c>
      <c r="H651" t="s">
        <v>25</v>
      </c>
      <c r="I651" t="str">
        <f>_xlfn.XLOOKUP(E651,'Products Master'!A:A,'Products Master'!B:B)</f>
        <v>Electronics</v>
      </c>
      <c r="J651">
        <f>_xlfn.XLOOKUP(E651,'Products Master'!A:A,'Products Master'!C:C)</f>
        <v>35000</v>
      </c>
      <c r="K651" t="str">
        <f>_xlfn.XLOOKUP(E651,'Products Master'!A:A,'Products Master'!D:D)</f>
        <v>HP</v>
      </c>
      <c r="L651">
        <f t="shared" si="40"/>
        <v>135000</v>
      </c>
      <c r="M651">
        <f t="shared" si="41"/>
        <v>105000</v>
      </c>
      <c r="N651">
        <f t="shared" si="42"/>
        <v>30000</v>
      </c>
      <c r="O651" s="2">
        <f t="shared" si="43"/>
        <v>0.22222222222222221</v>
      </c>
    </row>
    <row r="652" spans="1:15">
      <c r="A652" t="s">
        <v>1089</v>
      </c>
      <c r="B652" t="s">
        <v>1090</v>
      </c>
      <c r="C652" t="s">
        <v>74</v>
      </c>
      <c r="D652" t="s">
        <v>115</v>
      </c>
      <c r="E652" t="s">
        <v>124</v>
      </c>
      <c r="F652">
        <v>3</v>
      </c>
      <c r="G652">
        <v>18000</v>
      </c>
      <c r="H652" t="s">
        <v>66</v>
      </c>
      <c r="I652" t="str">
        <f>_xlfn.XLOOKUP(E652,'Products Master'!A:A,'Products Master'!B:B)</f>
        <v>Storage</v>
      </c>
      <c r="J652">
        <f>_xlfn.XLOOKUP(E652,'Products Master'!A:A,'Products Master'!C:C)</f>
        <v>12000</v>
      </c>
      <c r="K652" t="str">
        <f>_xlfn.XLOOKUP(E652,'Products Master'!A:A,'Products Master'!D:D)</f>
        <v>Kingston</v>
      </c>
      <c r="L652">
        <f t="shared" si="40"/>
        <v>54000</v>
      </c>
      <c r="M652">
        <f t="shared" si="41"/>
        <v>36000</v>
      </c>
      <c r="N652">
        <f t="shared" si="42"/>
        <v>18000</v>
      </c>
      <c r="O652" s="2">
        <f t="shared" si="43"/>
        <v>0.33333333333333331</v>
      </c>
    </row>
    <row r="653" spans="1:15">
      <c r="A653" t="s">
        <v>1091</v>
      </c>
      <c r="B653" t="s">
        <v>848</v>
      </c>
      <c r="C653" t="s">
        <v>731</v>
      </c>
      <c r="D653" t="s">
        <v>34</v>
      </c>
      <c r="E653" t="s">
        <v>124</v>
      </c>
      <c r="F653">
        <v>3</v>
      </c>
      <c r="G653">
        <v>18000</v>
      </c>
      <c r="H653" t="s">
        <v>95</v>
      </c>
      <c r="I653" t="str">
        <f>_xlfn.XLOOKUP(E653,'Products Master'!A:A,'Products Master'!B:B)</f>
        <v>Storage</v>
      </c>
      <c r="J653">
        <f>_xlfn.XLOOKUP(E653,'Products Master'!A:A,'Products Master'!C:C)</f>
        <v>12000</v>
      </c>
      <c r="K653" t="str">
        <f>_xlfn.XLOOKUP(E653,'Products Master'!A:A,'Products Master'!D:D)</f>
        <v>Kingston</v>
      </c>
      <c r="L653">
        <f t="shared" si="40"/>
        <v>54000</v>
      </c>
      <c r="M653">
        <f t="shared" si="41"/>
        <v>36000</v>
      </c>
      <c r="N653">
        <f t="shared" si="42"/>
        <v>18000</v>
      </c>
      <c r="O653" s="2">
        <f t="shared" si="43"/>
        <v>0.33333333333333331</v>
      </c>
    </row>
    <row r="654" spans="1:15">
      <c r="A654" t="s">
        <v>1092</v>
      </c>
      <c r="B654" t="s">
        <v>1093</v>
      </c>
      <c r="C654" t="s">
        <v>152</v>
      </c>
      <c r="D654" t="s">
        <v>111</v>
      </c>
      <c r="E654" t="s">
        <v>54</v>
      </c>
      <c r="F654">
        <v>2</v>
      </c>
      <c r="G654">
        <v>7000</v>
      </c>
      <c r="H654" t="s">
        <v>36</v>
      </c>
      <c r="I654" t="str">
        <f>_xlfn.XLOOKUP(E654,'Products Master'!A:A,'Products Master'!B:B)</f>
        <v>Accessories</v>
      </c>
      <c r="J654">
        <f>_xlfn.XLOOKUP(E654,'Products Master'!A:A,'Products Master'!C:C)</f>
        <v>5000</v>
      </c>
      <c r="K654" t="str">
        <f>_xlfn.XLOOKUP(E654,'Products Master'!A:A,'Products Master'!D:D)</f>
        <v>Sony</v>
      </c>
      <c r="L654">
        <f t="shared" si="40"/>
        <v>14000</v>
      </c>
      <c r="M654">
        <f t="shared" si="41"/>
        <v>10000</v>
      </c>
      <c r="N654">
        <f t="shared" si="42"/>
        <v>4000</v>
      </c>
      <c r="O654" s="2">
        <f t="shared" si="43"/>
        <v>0.2857142857142857</v>
      </c>
    </row>
    <row r="655" spans="1:15">
      <c r="A655" t="s">
        <v>1094</v>
      </c>
      <c r="B655" t="s">
        <v>632</v>
      </c>
      <c r="C655" t="s">
        <v>176</v>
      </c>
      <c r="D655" t="s">
        <v>45</v>
      </c>
      <c r="E655" t="s">
        <v>24</v>
      </c>
      <c r="F655">
        <v>1</v>
      </c>
      <c r="G655">
        <v>2500</v>
      </c>
      <c r="H655" t="s">
        <v>30</v>
      </c>
      <c r="I655" t="str">
        <f>_xlfn.XLOOKUP(E655,'Products Master'!A:A,'Products Master'!B:B)</f>
        <v>Accessories</v>
      </c>
      <c r="J655">
        <f>_xlfn.XLOOKUP(E655,'Products Master'!A:A,'Products Master'!C:C)</f>
        <v>1500</v>
      </c>
      <c r="K655" t="str">
        <f>_xlfn.XLOOKUP(E655,'Products Master'!A:A,'Products Master'!D:D)</f>
        <v>Logitech</v>
      </c>
      <c r="L655">
        <f t="shared" si="40"/>
        <v>2500</v>
      </c>
      <c r="M655">
        <f t="shared" si="41"/>
        <v>1500</v>
      </c>
      <c r="N655">
        <f t="shared" si="42"/>
        <v>1000</v>
      </c>
      <c r="O655" s="2">
        <f t="shared" si="43"/>
        <v>0.4</v>
      </c>
    </row>
    <row r="656" spans="1:15">
      <c r="A656" t="s">
        <v>1095</v>
      </c>
      <c r="B656" t="s">
        <v>501</v>
      </c>
      <c r="C656" t="s">
        <v>127</v>
      </c>
      <c r="D656" t="s">
        <v>29</v>
      </c>
      <c r="E656" t="s">
        <v>18</v>
      </c>
      <c r="F656">
        <v>2</v>
      </c>
      <c r="G656">
        <v>45000</v>
      </c>
      <c r="H656" t="s">
        <v>30</v>
      </c>
      <c r="I656" t="str">
        <f>_xlfn.XLOOKUP(E656,'Products Master'!A:A,'Products Master'!B:B)</f>
        <v>Electronics</v>
      </c>
      <c r="J656">
        <f>_xlfn.XLOOKUP(E656,'Products Master'!A:A,'Products Master'!C:C)</f>
        <v>35000</v>
      </c>
      <c r="K656" t="str">
        <f>_xlfn.XLOOKUP(E656,'Products Master'!A:A,'Products Master'!D:D)</f>
        <v>HP</v>
      </c>
      <c r="L656">
        <f t="shared" si="40"/>
        <v>90000</v>
      </c>
      <c r="M656">
        <f t="shared" si="41"/>
        <v>70000</v>
      </c>
      <c r="N656">
        <f t="shared" si="42"/>
        <v>20000</v>
      </c>
      <c r="O656" s="2">
        <f t="shared" si="43"/>
        <v>0.22222222222222221</v>
      </c>
    </row>
    <row r="657" spans="1:15">
      <c r="A657" t="s">
        <v>1096</v>
      </c>
      <c r="B657" t="s">
        <v>164</v>
      </c>
      <c r="C657" t="s">
        <v>539</v>
      </c>
      <c r="D657" t="s">
        <v>115</v>
      </c>
      <c r="E657" t="s">
        <v>12</v>
      </c>
      <c r="F657">
        <v>3</v>
      </c>
      <c r="G657">
        <v>150000</v>
      </c>
      <c r="H657" t="s">
        <v>25</v>
      </c>
      <c r="I657" t="str">
        <f>_xlfn.XLOOKUP(E657,'Products Master'!A:A,'Products Master'!B:B)</f>
        <v>Electronics</v>
      </c>
      <c r="J657">
        <f>_xlfn.XLOOKUP(E657,'Products Master'!A:A,'Products Master'!C:C)</f>
        <v>120000</v>
      </c>
      <c r="K657" t="str">
        <f>_xlfn.XLOOKUP(E657,'Products Master'!A:A,'Products Master'!D:D)</f>
        <v>Dell</v>
      </c>
      <c r="L657">
        <f t="shared" si="40"/>
        <v>450000</v>
      </c>
      <c r="M657">
        <f t="shared" si="41"/>
        <v>360000</v>
      </c>
      <c r="N657">
        <f t="shared" si="42"/>
        <v>90000</v>
      </c>
      <c r="O657" s="2">
        <f t="shared" si="43"/>
        <v>0.2</v>
      </c>
    </row>
    <row r="658" spans="1:15">
      <c r="A658" t="s">
        <v>1097</v>
      </c>
      <c r="B658" t="s">
        <v>184</v>
      </c>
      <c r="C658" t="s">
        <v>285</v>
      </c>
      <c r="D658" t="s">
        <v>34</v>
      </c>
      <c r="E658" t="s">
        <v>35</v>
      </c>
      <c r="F658">
        <v>2</v>
      </c>
      <c r="G658">
        <v>2000</v>
      </c>
      <c r="H658" t="s">
        <v>95</v>
      </c>
      <c r="I658" t="str">
        <f>_xlfn.XLOOKUP(E658,'Products Master'!A:A,'Products Master'!B:B)</f>
        <v>Storage</v>
      </c>
      <c r="J658">
        <f>_xlfn.XLOOKUP(E658,'Products Master'!A:A,'Products Master'!C:C)</f>
        <v>1200</v>
      </c>
      <c r="K658" t="str">
        <f>_xlfn.XLOOKUP(E658,'Products Master'!A:A,'Products Master'!D:D)</f>
        <v>SanDisk</v>
      </c>
      <c r="L658">
        <f t="shared" si="40"/>
        <v>4000</v>
      </c>
      <c r="M658">
        <f t="shared" si="41"/>
        <v>2400</v>
      </c>
      <c r="N658">
        <f t="shared" si="42"/>
        <v>1600</v>
      </c>
      <c r="O658" s="2">
        <f t="shared" si="43"/>
        <v>0.4</v>
      </c>
    </row>
    <row r="659" spans="1:15">
      <c r="A659" t="s">
        <v>1098</v>
      </c>
      <c r="B659" t="s">
        <v>223</v>
      </c>
      <c r="C659" t="s">
        <v>294</v>
      </c>
      <c r="D659" t="s">
        <v>111</v>
      </c>
      <c r="E659" t="s">
        <v>35</v>
      </c>
      <c r="F659">
        <v>5</v>
      </c>
      <c r="G659">
        <v>2000</v>
      </c>
      <c r="H659" t="s">
        <v>95</v>
      </c>
      <c r="I659" t="str">
        <f>_xlfn.XLOOKUP(E659,'Products Master'!A:A,'Products Master'!B:B)</f>
        <v>Storage</v>
      </c>
      <c r="J659">
        <f>_xlfn.XLOOKUP(E659,'Products Master'!A:A,'Products Master'!C:C)</f>
        <v>1200</v>
      </c>
      <c r="K659" t="str">
        <f>_xlfn.XLOOKUP(E659,'Products Master'!A:A,'Products Master'!D:D)</f>
        <v>SanDisk</v>
      </c>
      <c r="L659">
        <f t="shared" si="40"/>
        <v>10000</v>
      </c>
      <c r="M659">
        <f t="shared" si="41"/>
        <v>6000</v>
      </c>
      <c r="N659">
        <f t="shared" si="42"/>
        <v>4000</v>
      </c>
      <c r="O659" s="2">
        <f t="shared" si="43"/>
        <v>0.4</v>
      </c>
    </row>
    <row r="660" spans="1:15">
      <c r="A660" t="s">
        <v>1099</v>
      </c>
      <c r="B660" t="s">
        <v>702</v>
      </c>
      <c r="C660" t="s">
        <v>327</v>
      </c>
      <c r="D660" t="s">
        <v>17</v>
      </c>
      <c r="E660" t="s">
        <v>24</v>
      </c>
      <c r="F660">
        <v>5</v>
      </c>
      <c r="G660">
        <v>2500</v>
      </c>
      <c r="H660" t="s">
        <v>25</v>
      </c>
      <c r="I660" t="str">
        <f>_xlfn.XLOOKUP(E660,'Products Master'!A:A,'Products Master'!B:B)</f>
        <v>Accessories</v>
      </c>
      <c r="J660">
        <f>_xlfn.XLOOKUP(E660,'Products Master'!A:A,'Products Master'!C:C)</f>
        <v>1500</v>
      </c>
      <c r="K660" t="str">
        <f>_xlfn.XLOOKUP(E660,'Products Master'!A:A,'Products Master'!D:D)</f>
        <v>Logitech</v>
      </c>
      <c r="L660">
        <f t="shared" si="40"/>
        <v>12500</v>
      </c>
      <c r="M660">
        <f t="shared" si="41"/>
        <v>7500</v>
      </c>
      <c r="N660">
        <f t="shared" si="42"/>
        <v>5000</v>
      </c>
      <c r="O660" s="2">
        <f t="shared" si="43"/>
        <v>0.4</v>
      </c>
    </row>
    <row r="661" spans="1:15">
      <c r="A661" t="s">
        <v>1100</v>
      </c>
      <c r="B661" t="s">
        <v>897</v>
      </c>
      <c r="C661" t="s">
        <v>159</v>
      </c>
      <c r="D661" t="s">
        <v>23</v>
      </c>
      <c r="E661" t="s">
        <v>40</v>
      </c>
      <c r="F661">
        <v>1</v>
      </c>
      <c r="G661">
        <v>60000</v>
      </c>
      <c r="H661" t="s">
        <v>50</v>
      </c>
      <c r="I661" t="str">
        <f>_xlfn.XLOOKUP(E661,'Products Master'!A:A,'Products Master'!B:B)</f>
        <v>Electronics</v>
      </c>
      <c r="J661">
        <f>_xlfn.XLOOKUP(E661,'Products Master'!A:A,'Products Master'!C:C)</f>
        <v>50000</v>
      </c>
      <c r="K661" t="str">
        <f>_xlfn.XLOOKUP(E661,'Products Master'!A:A,'Products Master'!D:D)</f>
        <v>LG</v>
      </c>
      <c r="L661">
        <f t="shared" si="40"/>
        <v>60000</v>
      </c>
      <c r="M661">
        <f t="shared" si="41"/>
        <v>50000</v>
      </c>
      <c r="N661">
        <f t="shared" si="42"/>
        <v>10000</v>
      </c>
      <c r="O661" s="2">
        <f t="shared" si="43"/>
        <v>0.16666666666666666</v>
      </c>
    </row>
    <row r="662" spans="1:15">
      <c r="A662" t="s">
        <v>1101</v>
      </c>
      <c r="B662" t="s">
        <v>282</v>
      </c>
      <c r="C662" t="s">
        <v>77</v>
      </c>
      <c r="D662" t="s">
        <v>11</v>
      </c>
      <c r="E662" t="s">
        <v>40</v>
      </c>
      <c r="F662">
        <v>4</v>
      </c>
      <c r="G662">
        <v>60000</v>
      </c>
      <c r="H662" t="s">
        <v>41</v>
      </c>
      <c r="I662" t="str">
        <f>_xlfn.XLOOKUP(E662,'Products Master'!A:A,'Products Master'!B:B)</f>
        <v>Electronics</v>
      </c>
      <c r="J662">
        <f>_xlfn.XLOOKUP(E662,'Products Master'!A:A,'Products Master'!C:C)</f>
        <v>50000</v>
      </c>
      <c r="K662" t="str">
        <f>_xlfn.XLOOKUP(E662,'Products Master'!A:A,'Products Master'!D:D)</f>
        <v>LG</v>
      </c>
      <c r="L662">
        <f t="shared" si="40"/>
        <v>240000</v>
      </c>
      <c r="M662">
        <f t="shared" si="41"/>
        <v>200000</v>
      </c>
      <c r="N662">
        <f t="shared" si="42"/>
        <v>40000</v>
      </c>
      <c r="O662" s="2">
        <f t="shared" si="43"/>
        <v>0.16666666666666666</v>
      </c>
    </row>
    <row r="663" spans="1:15">
      <c r="A663" t="s">
        <v>1102</v>
      </c>
      <c r="B663" t="s">
        <v>1011</v>
      </c>
      <c r="C663" t="s">
        <v>162</v>
      </c>
      <c r="D663" t="s">
        <v>34</v>
      </c>
      <c r="E663" t="s">
        <v>99</v>
      </c>
      <c r="F663">
        <v>3</v>
      </c>
      <c r="G663">
        <v>5000</v>
      </c>
      <c r="H663" t="s">
        <v>50</v>
      </c>
      <c r="I663" t="str">
        <f>_xlfn.XLOOKUP(E663,'Products Master'!A:A,'Products Master'!B:B)</f>
        <v>Accessories</v>
      </c>
      <c r="J663">
        <f>_xlfn.XLOOKUP(E663,'Products Master'!A:A,'Products Master'!C:C)</f>
        <v>3500</v>
      </c>
      <c r="K663" t="str">
        <f>_xlfn.XLOOKUP(E663,'Products Master'!A:A,'Products Master'!D:D)</f>
        <v>Logitech</v>
      </c>
      <c r="L663">
        <f t="shared" si="40"/>
        <v>15000</v>
      </c>
      <c r="M663">
        <f t="shared" si="41"/>
        <v>10500</v>
      </c>
      <c r="N663">
        <f t="shared" si="42"/>
        <v>4500</v>
      </c>
      <c r="O663" s="2">
        <f t="shared" si="43"/>
        <v>0.3</v>
      </c>
    </row>
    <row r="664" spans="1:15">
      <c r="A664" t="s">
        <v>1103</v>
      </c>
      <c r="B664" t="s">
        <v>532</v>
      </c>
      <c r="C664" t="s">
        <v>33</v>
      </c>
      <c r="D664" t="s">
        <v>17</v>
      </c>
      <c r="E664" t="s">
        <v>99</v>
      </c>
      <c r="F664">
        <v>1</v>
      </c>
      <c r="G664">
        <v>5000</v>
      </c>
      <c r="H664" t="s">
        <v>116</v>
      </c>
      <c r="I664" t="str">
        <f>_xlfn.XLOOKUP(E664,'Products Master'!A:A,'Products Master'!B:B)</f>
        <v>Accessories</v>
      </c>
      <c r="J664">
        <f>_xlfn.XLOOKUP(E664,'Products Master'!A:A,'Products Master'!C:C)</f>
        <v>3500</v>
      </c>
      <c r="K664" t="str">
        <f>_xlfn.XLOOKUP(E664,'Products Master'!A:A,'Products Master'!D:D)</f>
        <v>Logitech</v>
      </c>
      <c r="L664">
        <f t="shared" si="40"/>
        <v>5000</v>
      </c>
      <c r="M664">
        <f t="shared" si="41"/>
        <v>3500</v>
      </c>
      <c r="N664">
        <f t="shared" si="42"/>
        <v>1500</v>
      </c>
      <c r="O664" s="2">
        <f t="shared" si="43"/>
        <v>0.3</v>
      </c>
    </row>
    <row r="665" spans="1:15">
      <c r="A665" t="s">
        <v>1104</v>
      </c>
      <c r="B665" t="s">
        <v>578</v>
      </c>
      <c r="C665" t="s">
        <v>201</v>
      </c>
      <c r="D665" t="s">
        <v>29</v>
      </c>
      <c r="E665" t="s">
        <v>40</v>
      </c>
      <c r="F665">
        <v>1</v>
      </c>
      <c r="G665">
        <v>60000</v>
      </c>
      <c r="H665" t="s">
        <v>30</v>
      </c>
      <c r="I665" t="str">
        <f>_xlfn.XLOOKUP(E665,'Products Master'!A:A,'Products Master'!B:B)</f>
        <v>Electronics</v>
      </c>
      <c r="J665">
        <f>_xlfn.XLOOKUP(E665,'Products Master'!A:A,'Products Master'!C:C)</f>
        <v>50000</v>
      </c>
      <c r="K665" t="str">
        <f>_xlfn.XLOOKUP(E665,'Products Master'!A:A,'Products Master'!D:D)</f>
        <v>LG</v>
      </c>
      <c r="L665">
        <f t="shared" si="40"/>
        <v>60000</v>
      </c>
      <c r="M665">
        <f t="shared" si="41"/>
        <v>50000</v>
      </c>
      <c r="N665">
        <f t="shared" si="42"/>
        <v>10000</v>
      </c>
      <c r="O665" s="2">
        <f t="shared" si="43"/>
        <v>0.16666666666666666</v>
      </c>
    </row>
    <row r="666" spans="1:15">
      <c r="A666" t="s">
        <v>1105</v>
      </c>
      <c r="B666" t="s">
        <v>38</v>
      </c>
      <c r="C666" t="s">
        <v>10</v>
      </c>
      <c r="D666" t="s">
        <v>115</v>
      </c>
      <c r="E666" t="s">
        <v>18</v>
      </c>
      <c r="F666">
        <v>2</v>
      </c>
      <c r="G666">
        <v>45000</v>
      </c>
      <c r="H666" t="s">
        <v>95</v>
      </c>
      <c r="I666" t="str">
        <f>_xlfn.XLOOKUP(E666,'Products Master'!A:A,'Products Master'!B:B)</f>
        <v>Electronics</v>
      </c>
      <c r="J666">
        <f>_xlfn.XLOOKUP(E666,'Products Master'!A:A,'Products Master'!C:C)</f>
        <v>35000</v>
      </c>
      <c r="K666" t="str">
        <f>_xlfn.XLOOKUP(E666,'Products Master'!A:A,'Products Master'!D:D)</f>
        <v>HP</v>
      </c>
      <c r="L666">
        <f t="shared" si="40"/>
        <v>90000</v>
      </c>
      <c r="M666">
        <f t="shared" si="41"/>
        <v>70000</v>
      </c>
      <c r="N666">
        <f t="shared" si="42"/>
        <v>20000</v>
      </c>
      <c r="O666" s="2">
        <f t="shared" si="43"/>
        <v>0.22222222222222221</v>
      </c>
    </row>
    <row r="667" spans="1:15">
      <c r="A667" t="s">
        <v>1106</v>
      </c>
      <c r="B667" t="s">
        <v>249</v>
      </c>
      <c r="C667" t="s">
        <v>77</v>
      </c>
      <c r="D667" t="s">
        <v>11</v>
      </c>
      <c r="E667" t="s">
        <v>49</v>
      </c>
      <c r="F667">
        <v>2</v>
      </c>
      <c r="G667">
        <v>9500</v>
      </c>
      <c r="H667" t="s">
        <v>36</v>
      </c>
      <c r="I667" t="str">
        <f>_xlfn.XLOOKUP(E667,'Products Master'!A:A,'Products Master'!B:B)</f>
        <v>Accessories</v>
      </c>
      <c r="J667">
        <f>_xlfn.XLOOKUP(E667,'Products Master'!A:A,'Products Master'!C:C)</f>
        <v>7000</v>
      </c>
      <c r="K667" t="str">
        <f>_xlfn.XLOOKUP(E667,'Products Master'!A:A,'Products Master'!D:D)</f>
        <v>Logitech</v>
      </c>
      <c r="L667">
        <f t="shared" si="40"/>
        <v>19000</v>
      </c>
      <c r="M667">
        <f t="shared" si="41"/>
        <v>14000</v>
      </c>
      <c r="N667">
        <f t="shared" si="42"/>
        <v>5000</v>
      </c>
      <c r="O667" s="2">
        <f t="shared" si="43"/>
        <v>0.26315789473684209</v>
      </c>
    </row>
    <row r="668" spans="1:15">
      <c r="A668" t="s">
        <v>1107</v>
      </c>
      <c r="B668" t="s">
        <v>578</v>
      </c>
      <c r="C668" t="s">
        <v>470</v>
      </c>
      <c r="D668" t="s">
        <v>45</v>
      </c>
      <c r="E668" t="s">
        <v>124</v>
      </c>
      <c r="F668">
        <v>1</v>
      </c>
      <c r="G668">
        <v>18000</v>
      </c>
      <c r="H668" t="s">
        <v>30</v>
      </c>
      <c r="I668" t="str">
        <f>_xlfn.XLOOKUP(E668,'Products Master'!A:A,'Products Master'!B:B)</f>
        <v>Storage</v>
      </c>
      <c r="J668">
        <f>_xlfn.XLOOKUP(E668,'Products Master'!A:A,'Products Master'!C:C)</f>
        <v>12000</v>
      </c>
      <c r="K668" t="str">
        <f>_xlfn.XLOOKUP(E668,'Products Master'!A:A,'Products Master'!D:D)</f>
        <v>Kingston</v>
      </c>
      <c r="L668">
        <f t="shared" si="40"/>
        <v>18000</v>
      </c>
      <c r="M668">
        <f t="shared" si="41"/>
        <v>12000</v>
      </c>
      <c r="N668">
        <f t="shared" si="42"/>
        <v>6000</v>
      </c>
      <c r="O668" s="2">
        <f t="shared" si="43"/>
        <v>0.33333333333333331</v>
      </c>
    </row>
    <row r="669" spans="1:15">
      <c r="A669" t="s">
        <v>1108</v>
      </c>
      <c r="B669" t="s">
        <v>980</v>
      </c>
      <c r="C669" t="s">
        <v>209</v>
      </c>
      <c r="D669" t="s">
        <v>34</v>
      </c>
      <c r="E669" t="s">
        <v>12</v>
      </c>
      <c r="F669">
        <v>4</v>
      </c>
      <c r="G669">
        <v>150000</v>
      </c>
      <c r="H669" t="s">
        <v>95</v>
      </c>
      <c r="I669" t="str">
        <f>_xlfn.XLOOKUP(E669,'Products Master'!A:A,'Products Master'!B:B)</f>
        <v>Electronics</v>
      </c>
      <c r="J669">
        <f>_xlfn.XLOOKUP(E669,'Products Master'!A:A,'Products Master'!C:C)</f>
        <v>120000</v>
      </c>
      <c r="K669" t="str">
        <f>_xlfn.XLOOKUP(E669,'Products Master'!A:A,'Products Master'!D:D)</f>
        <v>Dell</v>
      </c>
      <c r="L669">
        <f t="shared" si="40"/>
        <v>600000</v>
      </c>
      <c r="M669">
        <f t="shared" si="41"/>
        <v>480000</v>
      </c>
      <c r="N669">
        <f t="shared" si="42"/>
        <v>120000</v>
      </c>
      <c r="O669" s="2">
        <f t="shared" si="43"/>
        <v>0.2</v>
      </c>
    </row>
    <row r="670" spans="1:15">
      <c r="A670" t="s">
        <v>1109</v>
      </c>
      <c r="B670" t="s">
        <v>332</v>
      </c>
      <c r="C670" t="s">
        <v>48</v>
      </c>
      <c r="D670" t="s">
        <v>17</v>
      </c>
      <c r="E670" t="s">
        <v>49</v>
      </c>
      <c r="F670">
        <v>2</v>
      </c>
      <c r="G670">
        <v>9500</v>
      </c>
      <c r="H670" t="s">
        <v>116</v>
      </c>
      <c r="I670" t="str">
        <f>_xlfn.XLOOKUP(E670,'Products Master'!A:A,'Products Master'!B:B)</f>
        <v>Accessories</v>
      </c>
      <c r="J670">
        <f>_xlfn.XLOOKUP(E670,'Products Master'!A:A,'Products Master'!C:C)</f>
        <v>7000</v>
      </c>
      <c r="K670" t="str">
        <f>_xlfn.XLOOKUP(E670,'Products Master'!A:A,'Products Master'!D:D)</f>
        <v>Logitech</v>
      </c>
      <c r="L670">
        <f t="shared" si="40"/>
        <v>19000</v>
      </c>
      <c r="M670">
        <f t="shared" si="41"/>
        <v>14000</v>
      </c>
      <c r="N670">
        <f t="shared" si="42"/>
        <v>5000</v>
      </c>
      <c r="O670" s="2">
        <f t="shared" si="43"/>
        <v>0.26315789473684209</v>
      </c>
    </row>
    <row r="671" spans="1:15">
      <c r="A671" t="s">
        <v>1110</v>
      </c>
      <c r="B671" t="s">
        <v>760</v>
      </c>
      <c r="C671" t="s">
        <v>382</v>
      </c>
      <c r="D671" t="s">
        <v>29</v>
      </c>
      <c r="E671" t="s">
        <v>179</v>
      </c>
      <c r="F671">
        <v>2</v>
      </c>
      <c r="G671">
        <v>80000</v>
      </c>
      <c r="H671" t="s">
        <v>41</v>
      </c>
      <c r="I671" t="str">
        <f>_xlfn.XLOOKUP(E671,'Products Master'!A:A,'Products Master'!B:B)</f>
        <v>Electronics</v>
      </c>
      <c r="J671">
        <f>_xlfn.XLOOKUP(E671,'Products Master'!A:A,'Products Master'!C:C)</f>
        <v>65000</v>
      </c>
      <c r="K671" t="str">
        <f>_xlfn.XLOOKUP(E671,'Products Master'!A:A,'Products Master'!D:D)</f>
        <v>Samsung</v>
      </c>
      <c r="L671">
        <f t="shared" si="40"/>
        <v>160000</v>
      </c>
      <c r="M671">
        <f t="shared" si="41"/>
        <v>130000</v>
      </c>
      <c r="N671">
        <f t="shared" si="42"/>
        <v>30000</v>
      </c>
      <c r="O671" s="2">
        <f t="shared" si="43"/>
        <v>0.1875</v>
      </c>
    </row>
    <row r="672" spans="1:15">
      <c r="A672" t="s">
        <v>1111</v>
      </c>
      <c r="B672" t="s">
        <v>129</v>
      </c>
      <c r="C672" t="s">
        <v>201</v>
      </c>
      <c r="D672" t="s">
        <v>34</v>
      </c>
      <c r="E672" t="s">
        <v>49</v>
      </c>
      <c r="F672">
        <v>1</v>
      </c>
      <c r="G672">
        <v>9500</v>
      </c>
      <c r="H672" t="s">
        <v>19</v>
      </c>
      <c r="I672" t="str">
        <f>_xlfn.XLOOKUP(E672,'Products Master'!A:A,'Products Master'!B:B)</f>
        <v>Accessories</v>
      </c>
      <c r="J672">
        <f>_xlfn.XLOOKUP(E672,'Products Master'!A:A,'Products Master'!C:C)</f>
        <v>7000</v>
      </c>
      <c r="K672" t="str">
        <f>_xlfn.XLOOKUP(E672,'Products Master'!A:A,'Products Master'!D:D)</f>
        <v>Logitech</v>
      </c>
      <c r="L672">
        <f t="shared" si="40"/>
        <v>9500</v>
      </c>
      <c r="M672">
        <f t="shared" si="41"/>
        <v>7000</v>
      </c>
      <c r="N672">
        <f t="shared" si="42"/>
        <v>2500</v>
      </c>
      <c r="O672" s="2">
        <f t="shared" si="43"/>
        <v>0.26315789473684209</v>
      </c>
    </row>
    <row r="673" spans="1:15">
      <c r="A673" t="s">
        <v>1112</v>
      </c>
      <c r="B673" t="s">
        <v>705</v>
      </c>
      <c r="C673" t="s">
        <v>107</v>
      </c>
      <c r="D673" t="s">
        <v>115</v>
      </c>
      <c r="E673" t="s">
        <v>24</v>
      </c>
      <c r="F673">
        <v>1</v>
      </c>
      <c r="G673">
        <v>2500</v>
      </c>
      <c r="H673" t="s">
        <v>30</v>
      </c>
      <c r="I673" t="str">
        <f>_xlfn.XLOOKUP(E673,'Products Master'!A:A,'Products Master'!B:B)</f>
        <v>Accessories</v>
      </c>
      <c r="J673">
        <f>_xlfn.XLOOKUP(E673,'Products Master'!A:A,'Products Master'!C:C)</f>
        <v>1500</v>
      </c>
      <c r="K673" t="str">
        <f>_xlfn.XLOOKUP(E673,'Products Master'!A:A,'Products Master'!D:D)</f>
        <v>Logitech</v>
      </c>
      <c r="L673">
        <f t="shared" si="40"/>
        <v>2500</v>
      </c>
      <c r="M673">
        <f t="shared" si="41"/>
        <v>1500</v>
      </c>
      <c r="N673">
        <f t="shared" si="42"/>
        <v>1000</v>
      </c>
      <c r="O673" s="2">
        <f t="shared" si="43"/>
        <v>0.4</v>
      </c>
    </row>
    <row r="674" spans="1:15">
      <c r="A674" t="s">
        <v>1113</v>
      </c>
      <c r="B674" t="s">
        <v>188</v>
      </c>
      <c r="C674" t="s">
        <v>314</v>
      </c>
      <c r="D674" t="s">
        <v>111</v>
      </c>
      <c r="E674" t="s">
        <v>35</v>
      </c>
      <c r="F674">
        <v>1</v>
      </c>
      <c r="G674">
        <v>2000</v>
      </c>
      <c r="H674" t="s">
        <v>95</v>
      </c>
      <c r="I674" t="str">
        <f>_xlfn.XLOOKUP(E674,'Products Master'!A:A,'Products Master'!B:B)</f>
        <v>Storage</v>
      </c>
      <c r="J674">
        <f>_xlfn.XLOOKUP(E674,'Products Master'!A:A,'Products Master'!C:C)</f>
        <v>1200</v>
      </c>
      <c r="K674" t="str">
        <f>_xlfn.XLOOKUP(E674,'Products Master'!A:A,'Products Master'!D:D)</f>
        <v>SanDisk</v>
      </c>
      <c r="L674">
        <f t="shared" si="40"/>
        <v>2000</v>
      </c>
      <c r="M674">
        <f t="shared" si="41"/>
        <v>1200</v>
      </c>
      <c r="N674">
        <f t="shared" si="42"/>
        <v>800</v>
      </c>
      <c r="O674" s="2">
        <f t="shared" si="43"/>
        <v>0.4</v>
      </c>
    </row>
    <row r="675" spans="1:15">
      <c r="A675" t="s">
        <v>1114</v>
      </c>
      <c r="B675" t="s">
        <v>1115</v>
      </c>
      <c r="C675" t="s">
        <v>156</v>
      </c>
      <c r="D675" t="s">
        <v>34</v>
      </c>
      <c r="E675" t="s">
        <v>24</v>
      </c>
      <c r="F675">
        <v>3</v>
      </c>
      <c r="G675">
        <v>2500</v>
      </c>
      <c r="H675" t="s">
        <v>41</v>
      </c>
      <c r="I675" t="str">
        <f>_xlfn.XLOOKUP(E675,'Products Master'!A:A,'Products Master'!B:B)</f>
        <v>Accessories</v>
      </c>
      <c r="J675">
        <f>_xlfn.XLOOKUP(E675,'Products Master'!A:A,'Products Master'!C:C)</f>
        <v>1500</v>
      </c>
      <c r="K675" t="str">
        <f>_xlfn.XLOOKUP(E675,'Products Master'!A:A,'Products Master'!D:D)</f>
        <v>Logitech</v>
      </c>
      <c r="L675">
        <f t="shared" si="40"/>
        <v>7500</v>
      </c>
      <c r="M675">
        <f t="shared" si="41"/>
        <v>4500</v>
      </c>
      <c r="N675">
        <f t="shared" si="42"/>
        <v>3000</v>
      </c>
      <c r="O675" s="2">
        <f t="shared" si="43"/>
        <v>0.4</v>
      </c>
    </row>
    <row r="676" spans="1:15">
      <c r="A676" t="s">
        <v>1116</v>
      </c>
      <c r="B676" t="s">
        <v>369</v>
      </c>
      <c r="C676" t="s">
        <v>375</v>
      </c>
      <c r="D676" t="s">
        <v>17</v>
      </c>
      <c r="E676" t="s">
        <v>40</v>
      </c>
      <c r="F676">
        <v>1</v>
      </c>
      <c r="G676">
        <v>60000</v>
      </c>
      <c r="H676" t="s">
        <v>66</v>
      </c>
      <c r="I676" t="str">
        <f>_xlfn.XLOOKUP(E676,'Products Master'!A:A,'Products Master'!B:B)</f>
        <v>Electronics</v>
      </c>
      <c r="J676">
        <f>_xlfn.XLOOKUP(E676,'Products Master'!A:A,'Products Master'!C:C)</f>
        <v>50000</v>
      </c>
      <c r="K676" t="str">
        <f>_xlfn.XLOOKUP(E676,'Products Master'!A:A,'Products Master'!D:D)</f>
        <v>LG</v>
      </c>
      <c r="L676">
        <f t="shared" si="40"/>
        <v>60000</v>
      </c>
      <c r="M676">
        <f t="shared" si="41"/>
        <v>50000</v>
      </c>
      <c r="N676">
        <f t="shared" si="42"/>
        <v>10000</v>
      </c>
      <c r="O676" s="2">
        <f t="shared" si="43"/>
        <v>0.16666666666666666</v>
      </c>
    </row>
    <row r="677" spans="1:15">
      <c r="A677" t="s">
        <v>1117</v>
      </c>
      <c r="B677" t="s">
        <v>439</v>
      </c>
      <c r="C677" t="s">
        <v>101</v>
      </c>
      <c r="D677" t="s">
        <v>23</v>
      </c>
      <c r="E677" t="s">
        <v>40</v>
      </c>
      <c r="F677">
        <v>5</v>
      </c>
      <c r="G677">
        <v>60000</v>
      </c>
      <c r="H677" t="s">
        <v>95</v>
      </c>
      <c r="I677" t="str">
        <f>_xlfn.XLOOKUP(E677,'Products Master'!A:A,'Products Master'!B:B)</f>
        <v>Electronics</v>
      </c>
      <c r="J677">
        <f>_xlfn.XLOOKUP(E677,'Products Master'!A:A,'Products Master'!C:C)</f>
        <v>50000</v>
      </c>
      <c r="K677" t="str">
        <f>_xlfn.XLOOKUP(E677,'Products Master'!A:A,'Products Master'!D:D)</f>
        <v>LG</v>
      </c>
      <c r="L677">
        <f t="shared" si="40"/>
        <v>300000</v>
      </c>
      <c r="M677">
        <f t="shared" si="41"/>
        <v>250000</v>
      </c>
      <c r="N677">
        <f t="shared" si="42"/>
        <v>50000</v>
      </c>
      <c r="O677" s="2">
        <f t="shared" si="43"/>
        <v>0.16666666666666666</v>
      </c>
    </row>
    <row r="678" spans="1:15">
      <c r="A678" t="s">
        <v>1118</v>
      </c>
      <c r="B678" t="s">
        <v>571</v>
      </c>
      <c r="C678" t="s">
        <v>176</v>
      </c>
      <c r="D678" t="s">
        <v>115</v>
      </c>
      <c r="E678" t="s">
        <v>12</v>
      </c>
      <c r="F678">
        <v>3</v>
      </c>
      <c r="G678">
        <v>150000</v>
      </c>
      <c r="H678" t="s">
        <v>36</v>
      </c>
      <c r="I678" t="str">
        <f>_xlfn.XLOOKUP(E678,'Products Master'!A:A,'Products Master'!B:B)</f>
        <v>Electronics</v>
      </c>
      <c r="J678">
        <f>_xlfn.XLOOKUP(E678,'Products Master'!A:A,'Products Master'!C:C)</f>
        <v>120000</v>
      </c>
      <c r="K678" t="str">
        <f>_xlfn.XLOOKUP(E678,'Products Master'!A:A,'Products Master'!D:D)</f>
        <v>Dell</v>
      </c>
      <c r="L678">
        <f t="shared" si="40"/>
        <v>450000</v>
      </c>
      <c r="M678">
        <f t="shared" si="41"/>
        <v>360000</v>
      </c>
      <c r="N678">
        <f t="shared" si="42"/>
        <v>90000</v>
      </c>
      <c r="O678" s="2">
        <f t="shared" si="43"/>
        <v>0.2</v>
      </c>
    </row>
    <row r="679" spans="1:15">
      <c r="A679" t="s">
        <v>1119</v>
      </c>
      <c r="B679" t="s">
        <v>1120</v>
      </c>
      <c r="C679" t="s">
        <v>63</v>
      </c>
      <c r="D679" t="s">
        <v>34</v>
      </c>
      <c r="E679" t="s">
        <v>35</v>
      </c>
      <c r="F679">
        <v>2</v>
      </c>
      <c r="G679">
        <v>2000</v>
      </c>
      <c r="H679" t="s">
        <v>66</v>
      </c>
      <c r="I679" t="str">
        <f>_xlfn.XLOOKUP(E679,'Products Master'!A:A,'Products Master'!B:B)</f>
        <v>Storage</v>
      </c>
      <c r="J679">
        <f>_xlfn.XLOOKUP(E679,'Products Master'!A:A,'Products Master'!C:C)</f>
        <v>1200</v>
      </c>
      <c r="K679" t="str">
        <f>_xlfn.XLOOKUP(E679,'Products Master'!A:A,'Products Master'!D:D)</f>
        <v>SanDisk</v>
      </c>
      <c r="L679">
        <f t="shared" si="40"/>
        <v>4000</v>
      </c>
      <c r="M679">
        <f t="shared" si="41"/>
        <v>2400</v>
      </c>
      <c r="N679">
        <f t="shared" si="42"/>
        <v>1600</v>
      </c>
      <c r="O679" s="2">
        <f t="shared" si="43"/>
        <v>0.4</v>
      </c>
    </row>
    <row r="680" spans="1:15">
      <c r="A680" t="s">
        <v>1121</v>
      </c>
      <c r="B680" t="s">
        <v>290</v>
      </c>
      <c r="C680" t="s">
        <v>731</v>
      </c>
      <c r="D680" t="s">
        <v>11</v>
      </c>
      <c r="E680" t="s">
        <v>24</v>
      </c>
      <c r="F680">
        <v>4</v>
      </c>
      <c r="G680">
        <v>2500</v>
      </c>
      <c r="H680" t="s">
        <v>116</v>
      </c>
      <c r="I680" t="str">
        <f>_xlfn.XLOOKUP(E680,'Products Master'!A:A,'Products Master'!B:B)</f>
        <v>Accessories</v>
      </c>
      <c r="J680">
        <f>_xlfn.XLOOKUP(E680,'Products Master'!A:A,'Products Master'!C:C)</f>
        <v>1500</v>
      </c>
      <c r="K680" t="str">
        <f>_xlfn.XLOOKUP(E680,'Products Master'!A:A,'Products Master'!D:D)</f>
        <v>Logitech</v>
      </c>
      <c r="L680">
        <f t="shared" si="40"/>
        <v>10000</v>
      </c>
      <c r="M680">
        <f t="shared" si="41"/>
        <v>6000</v>
      </c>
      <c r="N680">
        <f t="shared" si="42"/>
        <v>4000</v>
      </c>
      <c r="O680" s="2">
        <f t="shared" si="43"/>
        <v>0.4</v>
      </c>
    </row>
    <row r="681" spans="1:15">
      <c r="A681" t="s">
        <v>1122</v>
      </c>
      <c r="B681" t="s">
        <v>1061</v>
      </c>
      <c r="C681" t="s">
        <v>353</v>
      </c>
      <c r="D681" t="s">
        <v>23</v>
      </c>
      <c r="E681" t="s">
        <v>49</v>
      </c>
      <c r="F681">
        <v>3</v>
      </c>
      <c r="G681">
        <v>9500</v>
      </c>
      <c r="H681" t="s">
        <v>116</v>
      </c>
      <c r="I681" t="str">
        <f>_xlfn.XLOOKUP(E681,'Products Master'!A:A,'Products Master'!B:B)</f>
        <v>Accessories</v>
      </c>
      <c r="J681">
        <f>_xlfn.XLOOKUP(E681,'Products Master'!A:A,'Products Master'!C:C)</f>
        <v>7000</v>
      </c>
      <c r="K681" t="str">
        <f>_xlfn.XLOOKUP(E681,'Products Master'!A:A,'Products Master'!D:D)</f>
        <v>Logitech</v>
      </c>
      <c r="L681">
        <f t="shared" si="40"/>
        <v>28500</v>
      </c>
      <c r="M681">
        <f t="shared" si="41"/>
        <v>21000</v>
      </c>
      <c r="N681">
        <f t="shared" si="42"/>
        <v>7500</v>
      </c>
      <c r="O681" s="2">
        <f t="shared" si="43"/>
        <v>0.26315789473684209</v>
      </c>
    </row>
    <row r="682" spans="1:15">
      <c r="A682" t="s">
        <v>1123</v>
      </c>
      <c r="B682" t="s">
        <v>751</v>
      </c>
      <c r="C682" t="s">
        <v>842</v>
      </c>
      <c r="D682" t="s">
        <v>115</v>
      </c>
      <c r="E682" t="s">
        <v>35</v>
      </c>
      <c r="F682">
        <v>5</v>
      </c>
      <c r="G682">
        <v>2000</v>
      </c>
      <c r="H682" t="s">
        <v>41</v>
      </c>
      <c r="I682" t="str">
        <f>_xlfn.XLOOKUP(E682,'Products Master'!A:A,'Products Master'!B:B)</f>
        <v>Storage</v>
      </c>
      <c r="J682">
        <f>_xlfn.XLOOKUP(E682,'Products Master'!A:A,'Products Master'!C:C)</f>
        <v>1200</v>
      </c>
      <c r="K682" t="str">
        <f>_xlfn.XLOOKUP(E682,'Products Master'!A:A,'Products Master'!D:D)</f>
        <v>SanDisk</v>
      </c>
      <c r="L682">
        <f t="shared" si="40"/>
        <v>10000</v>
      </c>
      <c r="M682">
        <f t="shared" si="41"/>
        <v>6000</v>
      </c>
      <c r="N682">
        <f t="shared" si="42"/>
        <v>4000</v>
      </c>
      <c r="O682" s="2">
        <f t="shared" si="43"/>
        <v>0.4</v>
      </c>
    </row>
    <row r="683" spans="1:15">
      <c r="A683" t="s">
        <v>1124</v>
      </c>
      <c r="B683" t="s">
        <v>1125</v>
      </c>
      <c r="C683" t="s">
        <v>233</v>
      </c>
      <c r="D683" t="s">
        <v>115</v>
      </c>
      <c r="E683" t="s">
        <v>124</v>
      </c>
      <c r="F683">
        <v>4</v>
      </c>
      <c r="G683">
        <v>18000</v>
      </c>
      <c r="H683" t="s">
        <v>30</v>
      </c>
      <c r="I683" t="str">
        <f>_xlfn.XLOOKUP(E683,'Products Master'!A:A,'Products Master'!B:B)</f>
        <v>Storage</v>
      </c>
      <c r="J683">
        <f>_xlfn.XLOOKUP(E683,'Products Master'!A:A,'Products Master'!C:C)</f>
        <v>12000</v>
      </c>
      <c r="K683" t="str">
        <f>_xlfn.XLOOKUP(E683,'Products Master'!A:A,'Products Master'!D:D)</f>
        <v>Kingston</v>
      </c>
      <c r="L683">
        <f t="shared" si="40"/>
        <v>72000</v>
      </c>
      <c r="M683">
        <f t="shared" si="41"/>
        <v>48000</v>
      </c>
      <c r="N683">
        <f t="shared" si="42"/>
        <v>24000</v>
      </c>
      <c r="O683" s="2">
        <f t="shared" si="43"/>
        <v>0.33333333333333331</v>
      </c>
    </row>
    <row r="684" spans="1:15">
      <c r="A684" t="s">
        <v>1126</v>
      </c>
      <c r="B684" t="s">
        <v>332</v>
      </c>
      <c r="C684" t="s">
        <v>212</v>
      </c>
      <c r="D684" t="s">
        <v>17</v>
      </c>
      <c r="E684" t="s">
        <v>54</v>
      </c>
      <c r="F684">
        <v>3</v>
      </c>
      <c r="G684">
        <v>7000</v>
      </c>
      <c r="H684" t="s">
        <v>50</v>
      </c>
      <c r="I684" t="str">
        <f>_xlfn.XLOOKUP(E684,'Products Master'!A:A,'Products Master'!B:B)</f>
        <v>Accessories</v>
      </c>
      <c r="J684">
        <f>_xlfn.XLOOKUP(E684,'Products Master'!A:A,'Products Master'!C:C)</f>
        <v>5000</v>
      </c>
      <c r="K684" t="str">
        <f>_xlfn.XLOOKUP(E684,'Products Master'!A:A,'Products Master'!D:D)</f>
        <v>Sony</v>
      </c>
      <c r="L684">
        <f t="shared" si="40"/>
        <v>21000</v>
      </c>
      <c r="M684">
        <f t="shared" si="41"/>
        <v>15000</v>
      </c>
      <c r="N684">
        <f t="shared" si="42"/>
        <v>6000</v>
      </c>
      <c r="O684" s="2">
        <f t="shared" si="43"/>
        <v>0.2857142857142857</v>
      </c>
    </row>
    <row r="685" spans="1:15">
      <c r="A685" t="s">
        <v>1127</v>
      </c>
      <c r="B685" t="s">
        <v>646</v>
      </c>
      <c r="C685" t="s">
        <v>140</v>
      </c>
      <c r="D685" t="s">
        <v>45</v>
      </c>
      <c r="E685" t="s">
        <v>35</v>
      </c>
      <c r="F685">
        <v>2</v>
      </c>
      <c r="G685">
        <v>2000</v>
      </c>
      <c r="H685" t="s">
        <v>66</v>
      </c>
      <c r="I685" t="str">
        <f>_xlfn.XLOOKUP(E685,'Products Master'!A:A,'Products Master'!B:B)</f>
        <v>Storage</v>
      </c>
      <c r="J685">
        <f>_xlfn.XLOOKUP(E685,'Products Master'!A:A,'Products Master'!C:C)</f>
        <v>1200</v>
      </c>
      <c r="K685" t="str">
        <f>_xlfn.XLOOKUP(E685,'Products Master'!A:A,'Products Master'!D:D)</f>
        <v>SanDisk</v>
      </c>
      <c r="L685">
        <f t="shared" si="40"/>
        <v>4000</v>
      </c>
      <c r="M685">
        <f t="shared" si="41"/>
        <v>2400</v>
      </c>
      <c r="N685">
        <f t="shared" si="42"/>
        <v>1600</v>
      </c>
      <c r="O685" s="2">
        <f t="shared" si="43"/>
        <v>0.4</v>
      </c>
    </row>
    <row r="686" spans="1:15">
      <c r="A686" t="s">
        <v>1128</v>
      </c>
      <c r="B686" t="s">
        <v>532</v>
      </c>
      <c r="C686" t="s">
        <v>536</v>
      </c>
      <c r="D686" t="s">
        <v>111</v>
      </c>
      <c r="E686" t="s">
        <v>124</v>
      </c>
      <c r="F686">
        <v>4</v>
      </c>
      <c r="G686">
        <v>18000</v>
      </c>
      <c r="H686" t="s">
        <v>30</v>
      </c>
      <c r="I686" t="str">
        <f>_xlfn.XLOOKUP(E686,'Products Master'!A:A,'Products Master'!B:B)</f>
        <v>Storage</v>
      </c>
      <c r="J686">
        <f>_xlfn.XLOOKUP(E686,'Products Master'!A:A,'Products Master'!C:C)</f>
        <v>12000</v>
      </c>
      <c r="K686" t="str">
        <f>_xlfn.XLOOKUP(E686,'Products Master'!A:A,'Products Master'!D:D)</f>
        <v>Kingston</v>
      </c>
      <c r="L686">
        <f t="shared" si="40"/>
        <v>72000</v>
      </c>
      <c r="M686">
        <f t="shared" si="41"/>
        <v>48000</v>
      </c>
      <c r="N686">
        <f t="shared" si="42"/>
        <v>24000</v>
      </c>
      <c r="O686" s="2">
        <f t="shared" si="43"/>
        <v>0.33333333333333331</v>
      </c>
    </row>
    <row r="687" spans="1:15">
      <c r="A687" t="s">
        <v>1129</v>
      </c>
      <c r="B687" t="s">
        <v>298</v>
      </c>
      <c r="C687" t="s">
        <v>186</v>
      </c>
      <c r="D687" t="s">
        <v>17</v>
      </c>
      <c r="E687" t="s">
        <v>54</v>
      </c>
      <c r="F687">
        <v>3</v>
      </c>
      <c r="G687">
        <v>7000</v>
      </c>
      <c r="H687" t="s">
        <v>116</v>
      </c>
      <c r="I687" t="str">
        <f>_xlfn.XLOOKUP(E687,'Products Master'!A:A,'Products Master'!B:B)</f>
        <v>Accessories</v>
      </c>
      <c r="J687">
        <f>_xlfn.XLOOKUP(E687,'Products Master'!A:A,'Products Master'!C:C)</f>
        <v>5000</v>
      </c>
      <c r="K687" t="str">
        <f>_xlfn.XLOOKUP(E687,'Products Master'!A:A,'Products Master'!D:D)</f>
        <v>Sony</v>
      </c>
      <c r="L687">
        <f t="shared" si="40"/>
        <v>21000</v>
      </c>
      <c r="M687">
        <f t="shared" si="41"/>
        <v>15000</v>
      </c>
      <c r="N687">
        <f t="shared" si="42"/>
        <v>6000</v>
      </c>
      <c r="O687" s="2">
        <f t="shared" si="43"/>
        <v>0.2857142857142857</v>
      </c>
    </row>
    <row r="688" spans="1:15">
      <c r="A688" t="s">
        <v>1130</v>
      </c>
      <c r="B688" t="s">
        <v>1131</v>
      </c>
      <c r="C688" t="s">
        <v>400</v>
      </c>
      <c r="D688" t="s">
        <v>29</v>
      </c>
      <c r="E688" t="s">
        <v>18</v>
      </c>
      <c r="F688">
        <v>5</v>
      </c>
      <c r="G688">
        <v>45000</v>
      </c>
      <c r="H688" t="s">
        <v>30</v>
      </c>
      <c r="I688" t="str">
        <f>_xlfn.XLOOKUP(E688,'Products Master'!A:A,'Products Master'!B:B)</f>
        <v>Electronics</v>
      </c>
      <c r="J688">
        <f>_xlfn.XLOOKUP(E688,'Products Master'!A:A,'Products Master'!C:C)</f>
        <v>35000</v>
      </c>
      <c r="K688" t="str">
        <f>_xlfn.XLOOKUP(E688,'Products Master'!A:A,'Products Master'!D:D)</f>
        <v>HP</v>
      </c>
      <c r="L688">
        <f t="shared" si="40"/>
        <v>225000</v>
      </c>
      <c r="M688">
        <f t="shared" si="41"/>
        <v>175000</v>
      </c>
      <c r="N688">
        <f t="shared" si="42"/>
        <v>50000</v>
      </c>
      <c r="O688" s="2">
        <f t="shared" si="43"/>
        <v>0.22222222222222221</v>
      </c>
    </row>
    <row r="689" spans="1:15">
      <c r="A689" t="s">
        <v>1132</v>
      </c>
      <c r="B689" t="s">
        <v>549</v>
      </c>
      <c r="C689" t="s">
        <v>98</v>
      </c>
      <c r="D689" t="s">
        <v>115</v>
      </c>
      <c r="E689" t="s">
        <v>35</v>
      </c>
      <c r="F689">
        <v>3</v>
      </c>
      <c r="G689">
        <v>2000</v>
      </c>
      <c r="H689" t="s">
        <v>36</v>
      </c>
      <c r="I689" t="str">
        <f>_xlfn.XLOOKUP(E689,'Products Master'!A:A,'Products Master'!B:B)</f>
        <v>Storage</v>
      </c>
      <c r="J689">
        <f>_xlfn.XLOOKUP(E689,'Products Master'!A:A,'Products Master'!C:C)</f>
        <v>1200</v>
      </c>
      <c r="K689" t="str">
        <f>_xlfn.XLOOKUP(E689,'Products Master'!A:A,'Products Master'!D:D)</f>
        <v>SanDisk</v>
      </c>
      <c r="L689">
        <f t="shared" si="40"/>
        <v>6000</v>
      </c>
      <c r="M689">
        <f t="shared" si="41"/>
        <v>3600</v>
      </c>
      <c r="N689">
        <f t="shared" si="42"/>
        <v>2400</v>
      </c>
      <c r="O689" s="2">
        <f t="shared" si="43"/>
        <v>0.4</v>
      </c>
    </row>
    <row r="690" spans="1:15">
      <c r="A690" t="s">
        <v>1133</v>
      </c>
      <c r="B690" t="s">
        <v>1134</v>
      </c>
      <c r="C690" t="s">
        <v>107</v>
      </c>
      <c r="D690" t="s">
        <v>115</v>
      </c>
      <c r="E690" t="s">
        <v>49</v>
      </c>
      <c r="F690">
        <v>5</v>
      </c>
      <c r="G690">
        <v>9500</v>
      </c>
      <c r="H690" t="s">
        <v>66</v>
      </c>
      <c r="I690" t="str">
        <f>_xlfn.XLOOKUP(E690,'Products Master'!A:A,'Products Master'!B:B)</f>
        <v>Accessories</v>
      </c>
      <c r="J690">
        <f>_xlfn.XLOOKUP(E690,'Products Master'!A:A,'Products Master'!C:C)</f>
        <v>7000</v>
      </c>
      <c r="K690" t="str">
        <f>_xlfn.XLOOKUP(E690,'Products Master'!A:A,'Products Master'!D:D)</f>
        <v>Logitech</v>
      </c>
      <c r="L690">
        <f t="shared" si="40"/>
        <v>47500</v>
      </c>
      <c r="M690">
        <f t="shared" si="41"/>
        <v>35000</v>
      </c>
      <c r="N690">
        <f t="shared" si="42"/>
        <v>12500</v>
      </c>
      <c r="O690" s="2">
        <f t="shared" si="43"/>
        <v>0.26315789473684209</v>
      </c>
    </row>
    <row r="691" spans="1:15">
      <c r="A691" t="s">
        <v>1135</v>
      </c>
      <c r="B691" t="s">
        <v>245</v>
      </c>
      <c r="C691" t="s">
        <v>69</v>
      </c>
      <c r="D691" t="s">
        <v>23</v>
      </c>
      <c r="E691" t="s">
        <v>35</v>
      </c>
      <c r="F691">
        <v>1</v>
      </c>
      <c r="G691">
        <v>2000</v>
      </c>
      <c r="H691" t="s">
        <v>19</v>
      </c>
      <c r="I691" t="str">
        <f>_xlfn.XLOOKUP(E691,'Products Master'!A:A,'Products Master'!B:B)</f>
        <v>Storage</v>
      </c>
      <c r="J691">
        <f>_xlfn.XLOOKUP(E691,'Products Master'!A:A,'Products Master'!C:C)</f>
        <v>1200</v>
      </c>
      <c r="K691" t="str">
        <f>_xlfn.XLOOKUP(E691,'Products Master'!A:A,'Products Master'!D:D)</f>
        <v>SanDisk</v>
      </c>
      <c r="L691">
        <f t="shared" si="40"/>
        <v>2000</v>
      </c>
      <c r="M691">
        <f t="shared" si="41"/>
        <v>1200</v>
      </c>
      <c r="N691">
        <f t="shared" si="42"/>
        <v>800</v>
      </c>
      <c r="O691" s="2">
        <f t="shared" si="43"/>
        <v>0.4</v>
      </c>
    </row>
    <row r="692" spans="1:15">
      <c r="A692" t="s">
        <v>1136</v>
      </c>
      <c r="B692" t="s">
        <v>1137</v>
      </c>
      <c r="C692" t="s">
        <v>470</v>
      </c>
      <c r="D692" t="s">
        <v>34</v>
      </c>
      <c r="E692" t="s">
        <v>40</v>
      </c>
      <c r="F692">
        <v>4</v>
      </c>
      <c r="G692">
        <v>60000</v>
      </c>
      <c r="H692" t="s">
        <v>19</v>
      </c>
      <c r="I692" t="str">
        <f>_xlfn.XLOOKUP(E692,'Products Master'!A:A,'Products Master'!B:B)</f>
        <v>Electronics</v>
      </c>
      <c r="J692">
        <f>_xlfn.XLOOKUP(E692,'Products Master'!A:A,'Products Master'!C:C)</f>
        <v>50000</v>
      </c>
      <c r="K692" t="str">
        <f>_xlfn.XLOOKUP(E692,'Products Master'!A:A,'Products Master'!D:D)</f>
        <v>LG</v>
      </c>
      <c r="L692">
        <f t="shared" si="40"/>
        <v>240000</v>
      </c>
      <c r="M692">
        <f t="shared" si="41"/>
        <v>200000</v>
      </c>
      <c r="N692">
        <f t="shared" si="42"/>
        <v>40000</v>
      </c>
      <c r="O692" s="2">
        <f t="shared" si="43"/>
        <v>0.16666666666666666</v>
      </c>
    </row>
    <row r="693" spans="1:15">
      <c r="A693" t="s">
        <v>1138</v>
      </c>
      <c r="B693" t="s">
        <v>211</v>
      </c>
      <c r="C693" t="s">
        <v>233</v>
      </c>
      <c r="D693" t="s">
        <v>11</v>
      </c>
      <c r="E693" t="s">
        <v>54</v>
      </c>
      <c r="F693">
        <v>5</v>
      </c>
      <c r="G693">
        <v>7000</v>
      </c>
      <c r="H693" t="s">
        <v>50</v>
      </c>
      <c r="I693" t="str">
        <f>_xlfn.XLOOKUP(E693,'Products Master'!A:A,'Products Master'!B:B)</f>
        <v>Accessories</v>
      </c>
      <c r="J693">
        <f>_xlfn.XLOOKUP(E693,'Products Master'!A:A,'Products Master'!C:C)</f>
        <v>5000</v>
      </c>
      <c r="K693" t="str">
        <f>_xlfn.XLOOKUP(E693,'Products Master'!A:A,'Products Master'!D:D)</f>
        <v>Sony</v>
      </c>
      <c r="L693">
        <f t="shared" si="40"/>
        <v>35000</v>
      </c>
      <c r="M693">
        <f t="shared" si="41"/>
        <v>25000</v>
      </c>
      <c r="N693">
        <f t="shared" si="42"/>
        <v>10000</v>
      </c>
      <c r="O693" s="2">
        <f t="shared" si="43"/>
        <v>0.2857142857142857</v>
      </c>
    </row>
    <row r="694" spans="1:15">
      <c r="A694" t="s">
        <v>1139</v>
      </c>
      <c r="B694" t="s">
        <v>919</v>
      </c>
      <c r="C694" t="s">
        <v>422</v>
      </c>
      <c r="D694" t="s">
        <v>115</v>
      </c>
      <c r="E694" t="s">
        <v>40</v>
      </c>
      <c r="F694">
        <v>3</v>
      </c>
      <c r="G694">
        <v>60000</v>
      </c>
      <c r="H694" t="s">
        <v>41</v>
      </c>
      <c r="I694" t="str">
        <f>_xlfn.XLOOKUP(E694,'Products Master'!A:A,'Products Master'!B:B)</f>
        <v>Electronics</v>
      </c>
      <c r="J694">
        <f>_xlfn.XLOOKUP(E694,'Products Master'!A:A,'Products Master'!C:C)</f>
        <v>50000</v>
      </c>
      <c r="K694" t="str">
        <f>_xlfn.XLOOKUP(E694,'Products Master'!A:A,'Products Master'!D:D)</f>
        <v>LG</v>
      </c>
      <c r="L694">
        <f t="shared" si="40"/>
        <v>180000</v>
      </c>
      <c r="M694">
        <f t="shared" si="41"/>
        <v>150000</v>
      </c>
      <c r="N694">
        <f t="shared" si="42"/>
        <v>30000</v>
      </c>
      <c r="O694" s="2">
        <f t="shared" si="43"/>
        <v>0.16666666666666666</v>
      </c>
    </row>
    <row r="695" spans="1:15">
      <c r="A695" t="s">
        <v>1140</v>
      </c>
      <c r="B695" t="s">
        <v>253</v>
      </c>
      <c r="C695" t="s">
        <v>48</v>
      </c>
      <c r="D695" t="s">
        <v>34</v>
      </c>
      <c r="E695" t="s">
        <v>35</v>
      </c>
      <c r="F695">
        <v>3</v>
      </c>
      <c r="G695">
        <v>2000</v>
      </c>
      <c r="H695" t="s">
        <v>41</v>
      </c>
      <c r="I695" t="str">
        <f>_xlfn.XLOOKUP(E695,'Products Master'!A:A,'Products Master'!B:B)</f>
        <v>Storage</v>
      </c>
      <c r="J695">
        <f>_xlfn.XLOOKUP(E695,'Products Master'!A:A,'Products Master'!C:C)</f>
        <v>1200</v>
      </c>
      <c r="K695" t="str">
        <f>_xlfn.XLOOKUP(E695,'Products Master'!A:A,'Products Master'!D:D)</f>
        <v>SanDisk</v>
      </c>
      <c r="L695">
        <f t="shared" si="40"/>
        <v>6000</v>
      </c>
      <c r="M695">
        <f t="shared" si="41"/>
        <v>3600</v>
      </c>
      <c r="N695">
        <f t="shared" si="42"/>
        <v>2400</v>
      </c>
      <c r="O695" s="2">
        <f t="shared" si="43"/>
        <v>0.4</v>
      </c>
    </row>
    <row r="696" spans="1:15">
      <c r="A696" t="s">
        <v>1141</v>
      </c>
      <c r="B696" t="s">
        <v>561</v>
      </c>
      <c r="C696" t="s">
        <v>194</v>
      </c>
      <c r="D696" t="s">
        <v>23</v>
      </c>
      <c r="E696" t="s">
        <v>49</v>
      </c>
      <c r="F696">
        <v>2</v>
      </c>
      <c r="G696">
        <v>9500</v>
      </c>
      <c r="H696" t="s">
        <v>25</v>
      </c>
      <c r="I696" t="str">
        <f>_xlfn.XLOOKUP(E696,'Products Master'!A:A,'Products Master'!B:B)</f>
        <v>Accessories</v>
      </c>
      <c r="J696">
        <f>_xlfn.XLOOKUP(E696,'Products Master'!A:A,'Products Master'!C:C)</f>
        <v>7000</v>
      </c>
      <c r="K696" t="str">
        <f>_xlfn.XLOOKUP(E696,'Products Master'!A:A,'Products Master'!D:D)</f>
        <v>Logitech</v>
      </c>
      <c r="L696">
        <f t="shared" si="40"/>
        <v>19000</v>
      </c>
      <c r="M696">
        <f t="shared" si="41"/>
        <v>14000</v>
      </c>
      <c r="N696">
        <f t="shared" si="42"/>
        <v>5000</v>
      </c>
      <c r="O696" s="2">
        <f t="shared" si="43"/>
        <v>0.26315789473684209</v>
      </c>
    </row>
    <row r="697" spans="1:15">
      <c r="A697" t="s">
        <v>1142</v>
      </c>
      <c r="B697" t="s">
        <v>643</v>
      </c>
      <c r="C697" t="s">
        <v>432</v>
      </c>
      <c r="D697" t="s">
        <v>45</v>
      </c>
      <c r="E697" t="s">
        <v>49</v>
      </c>
      <c r="F697">
        <v>5</v>
      </c>
      <c r="G697">
        <v>9500</v>
      </c>
      <c r="H697" t="s">
        <v>95</v>
      </c>
      <c r="I697" t="str">
        <f>_xlfn.XLOOKUP(E697,'Products Master'!A:A,'Products Master'!B:B)</f>
        <v>Accessories</v>
      </c>
      <c r="J697">
        <f>_xlfn.XLOOKUP(E697,'Products Master'!A:A,'Products Master'!C:C)</f>
        <v>7000</v>
      </c>
      <c r="K697" t="str">
        <f>_xlfn.XLOOKUP(E697,'Products Master'!A:A,'Products Master'!D:D)</f>
        <v>Logitech</v>
      </c>
      <c r="L697">
        <f t="shared" si="40"/>
        <v>47500</v>
      </c>
      <c r="M697">
        <f t="shared" si="41"/>
        <v>35000</v>
      </c>
      <c r="N697">
        <f t="shared" si="42"/>
        <v>12500</v>
      </c>
      <c r="O697" s="2">
        <f t="shared" si="43"/>
        <v>0.26315789473684209</v>
      </c>
    </row>
    <row r="698" spans="1:15">
      <c r="A698" t="s">
        <v>1143</v>
      </c>
      <c r="B698" t="s">
        <v>270</v>
      </c>
      <c r="C698" t="s">
        <v>299</v>
      </c>
      <c r="D698" t="s">
        <v>17</v>
      </c>
      <c r="E698" t="s">
        <v>54</v>
      </c>
      <c r="F698">
        <v>1</v>
      </c>
      <c r="G698">
        <v>7000</v>
      </c>
      <c r="H698" t="s">
        <v>30</v>
      </c>
      <c r="I698" t="str">
        <f>_xlfn.XLOOKUP(E698,'Products Master'!A:A,'Products Master'!B:B)</f>
        <v>Accessories</v>
      </c>
      <c r="J698">
        <f>_xlfn.XLOOKUP(E698,'Products Master'!A:A,'Products Master'!C:C)</f>
        <v>5000</v>
      </c>
      <c r="K698" t="str">
        <f>_xlfn.XLOOKUP(E698,'Products Master'!A:A,'Products Master'!D:D)</f>
        <v>Sony</v>
      </c>
      <c r="L698">
        <f t="shared" si="40"/>
        <v>7000</v>
      </c>
      <c r="M698">
        <f t="shared" si="41"/>
        <v>5000</v>
      </c>
      <c r="N698">
        <f t="shared" si="42"/>
        <v>2000</v>
      </c>
      <c r="O698" s="2">
        <f t="shared" si="43"/>
        <v>0.2857142857142857</v>
      </c>
    </row>
    <row r="699" spans="1:15">
      <c r="A699" t="s">
        <v>1144</v>
      </c>
      <c r="B699" t="s">
        <v>495</v>
      </c>
      <c r="C699" t="s">
        <v>318</v>
      </c>
      <c r="D699" t="s">
        <v>11</v>
      </c>
      <c r="E699" t="s">
        <v>35</v>
      </c>
      <c r="F699">
        <v>3</v>
      </c>
      <c r="G699">
        <v>2000</v>
      </c>
      <c r="H699" t="s">
        <v>30</v>
      </c>
      <c r="I699" t="str">
        <f>_xlfn.XLOOKUP(E699,'Products Master'!A:A,'Products Master'!B:B)</f>
        <v>Storage</v>
      </c>
      <c r="J699">
        <f>_xlfn.XLOOKUP(E699,'Products Master'!A:A,'Products Master'!C:C)</f>
        <v>1200</v>
      </c>
      <c r="K699" t="str">
        <f>_xlfn.XLOOKUP(E699,'Products Master'!A:A,'Products Master'!D:D)</f>
        <v>SanDisk</v>
      </c>
      <c r="L699">
        <f t="shared" si="40"/>
        <v>6000</v>
      </c>
      <c r="M699">
        <f t="shared" si="41"/>
        <v>3600</v>
      </c>
      <c r="N699">
        <f t="shared" si="42"/>
        <v>2400</v>
      </c>
      <c r="O699" s="2">
        <f t="shared" si="43"/>
        <v>0.4</v>
      </c>
    </row>
    <row r="700" spans="1:15">
      <c r="A700" t="s">
        <v>1145</v>
      </c>
      <c r="B700" t="s">
        <v>259</v>
      </c>
      <c r="C700" t="s">
        <v>53</v>
      </c>
      <c r="D700" t="s">
        <v>23</v>
      </c>
      <c r="E700" t="s">
        <v>49</v>
      </c>
      <c r="F700">
        <v>4</v>
      </c>
      <c r="G700">
        <v>9500</v>
      </c>
      <c r="H700" t="s">
        <v>13</v>
      </c>
      <c r="I700" t="str">
        <f>_xlfn.XLOOKUP(E700,'Products Master'!A:A,'Products Master'!B:B)</f>
        <v>Accessories</v>
      </c>
      <c r="J700">
        <f>_xlfn.XLOOKUP(E700,'Products Master'!A:A,'Products Master'!C:C)</f>
        <v>7000</v>
      </c>
      <c r="K700" t="str">
        <f>_xlfn.XLOOKUP(E700,'Products Master'!A:A,'Products Master'!D:D)</f>
        <v>Logitech</v>
      </c>
      <c r="L700">
        <f t="shared" si="40"/>
        <v>38000</v>
      </c>
      <c r="M700">
        <f t="shared" si="41"/>
        <v>28000</v>
      </c>
      <c r="N700">
        <f t="shared" si="42"/>
        <v>10000</v>
      </c>
      <c r="O700" s="2">
        <f t="shared" si="43"/>
        <v>0.26315789473684209</v>
      </c>
    </row>
    <row r="701" spans="1:15">
      <c r="A701" t="s">
        <v>1146</v>
      </c>
      <c r="B701" t="s">
        <v>472</v>
      </c>
      <c r="C701" t="s">
        <v>48</v>
      </c>
      <c r="D701" t="s">
        <v>34</v>
      </c>
      <c r="E701" t="s">
        <v>12</v>
      </c>
      <c r="F701">
        <v>5</v>
      </c>
      <c r="G701">
        <v>150000</v>
      </c>
      <c r="H701" t="s">
        <v>41</v>
      </c>
      <c r="I701" t="str">
        <f>_xlfn.XLOOKUP(E701,'Products Master'!A:A,'Products Master'!B:B)</f>
        <v>Electronics</v>
      </c>
      <c r="J701">
        <f>_xlfn.XLOOKUP(E701,'Products Master'!A:A,'Products Master'!C:C)</f>
        <v>120000</v>
      </c>
      <c r="K701" t="str">
        <f>_xlfn.XLOOKUP(E701,'Products Master'!A:A,'Products Master'!D:D)</f>
        <v>Dell</v>
      </c>
      <c r="L701">
        <f t="shared" si="40"/>
        <v>750000</v>
      </c>
      <c r="M701">
        <f t="shared" si="41"/>
        <v>600000</v>
      </c>
      <c r="N701">
        <f t="shared" si="42"/>
        <v>150000</v>
      </c>
      <c r="O701" s="2">
        <f t="shared" si="43"/>
        <v>0.2</v>
      </c>
    </row>
    <row r="702" spans="1:15">
      <c r="A702" t="s">
        <v>1147</v>
      </c>
      <c r="B702" t="s">
        <v>549</v>
      </c>
      <c r="C702" t="s">
        <v>194</v>
      </c>
      <c r="D702" t="s">
        <v>111</v>
      </c>
      <c r="E702" t="s">
        <v>24</v>
      </c>
      <c r="F702">
        <v>3</v>
      </c>
      <c r="G702">
        <v>2500</v>
      </c>
      <c r="H702" t="s">
        <v>30</v>
      </c>
      <c r="I702" t="str">
        <f>_xlfn.XLOOKUP(E702,'Products Master'!A:A,'Products Master'!B:B)</f>
        <v>Accessories</v>
      </c>
      <c r="J702">
        <f>_xlfn.XLOOKUP(E702,'Products Master'!A:A,'Products Master'!C:C)</f>
        <v>1500</v>
      </c>
      <c r="K702" t="str">
        <f>_xlfn.XLOOKUP(E702,'Products Master'!A:A,'Products Master'!D:D)</f>
        <v>Logitech</v>
      </c>
      <c r="L702">
        <f t="shared" si="40"/>
        <v>7500</v>
      </c>
      <c r="M702">
        <f t="shared" si="41"/>
        <v>4500</v>
      </c>
      <c r="N702">
        <f t="shared" si="42"/>
        <v>3000</v>
      </c>
      <c r="O702" s="2">
        <f t="shared" si="43"/>
        <v>0.4</v>
      </c>
    </row>
    <row r="703" spans="1:15">
      <c r="A703" t="s">
        <v>1148</v>
      </c>
      <c r="B703" t="s">
        <v>434</v>
      </c>
      <c r="C703" t="s">
        <v>285</v>
      </c>
      <c r="D703" t="s">
        <v>17</v>
      </c>
      <c r="E703" t="s">
        <v>35</v>
      </c>
      <c r="F703">
        <v>1</v>
      </c>
      <c r="G703">
        <v>2000</v>
      </c>
      <c r="H703" t="s">
        <v>25</v>
      </c>
      <c r="I703" t="str">
        <f>_xlfn.XLOOKUP(E703,'Products Master'!A:A,'Products Master'!B:B)</f>
        <v>Storage</v>
      </c>
      <c r="J703">
        <f>_xlfn.XLOOKUP(E703,'Products Master'!A:A,'Products Master'!C:C)</f>
        <v>1200</v>
      </c>
      <c r="K703" t="str">
        <f>_xlfn.XLOOKUP(E703,'Products Master'!A:A,'Products Master'!D:D)</f>
        <v>SanDisk</v>
      </c>
      <c r="L703">
        <f t="shared" si="40"/>
        <v>2000</v>
      </c>
      <c r="M703">
        <f t="shared" si="41"/>
        <v>1200</v>
      </c>
      <c r="N703">
        <f t="shared" si="42"/>
        <v>800</v>
      </c>
      <c r="O703" s="2">
        <f t="shared" si="43"/>
        <v>0.4</v>
      </c>
    </row>
    <row r="704" spans="1:15">
      <c r="A704" t="s">
        <v>1149</v>
      </c>
      <c r="B704" t="s">
        <v>182</v>
      </c>
      <c r="C704" t="s">
        <v>39</v>
      </c>
      <c r="D704" t="s">
        <v>115</v>
      </c>
      <c r="E704" t="s">
        <v>35</v>
      </c>
      <c r="F704">
        <v>1</v>
      </c>
      <c r="G704">
        <v>2000</v>
      </c>
      <c r="H704" t="s">
        <v>13</v>
      </c>
      <c r="I704" t="str">
        <f>_xlfn.XLOOKUP(E704,'Products Master'!A:A,'Products Master'!B:B)</f>
        <v>Storage</v>
      </c>
      <c r="J704">
        <f>_xlfn.XLOOKUP(E704,'Products Master'!A:A,'Products Master'!C:C)</f>
        <v>1200</v>
      </c>
      <c r="K704" t="str">
        <f>_xlfn.XLOOKUP(E704,'Products Master'!A:A,'Products Master'!D:D)</f>
        <v>SanDisk</v>
      </c>
      <c r="L704">
        <f t="shared" si="40"/>
        <v>2000</v>
      </c>
      <c r="M704">
        <f t="shared" si="41"/>
        <v>1200</v>
      </c>
      <c r="N704">
        <f t="shared" si="42"/>
        <v>800</v>
      </c>
      <c r="O704" s="2">
        <f t="shared" si="43"/>
        <v>0.4</v>
      </c>
    </row>
    <row r="705" spans="1:15">
      <c r="A705" t="s">
        <v>1150</v>
      </c>
      <c r="B705" t="s">
        <v>722</v>
      </c>
      <c r="C705" t="s">
        <v>382</v>
      </c>
      <c r="D705" t="s">
        <v>23</v>
      </c>
      <c r="E705" t="s">
        <v>18</v>
      </c>
      <c r="F705">
        <v>5</v>
      </c>
      <c r="G705">
        <v>45000</v>
      </c>
      <c r="H705" t="s">
        <v>36</v>
      </c>
      <c r="I705" t="str">
        <f>_xlfn.XLOOKUP(E705,'Products Master'!A:A,'Products Master'!B:B)</f>
        <v>Electronics</v>
      </c>
      <c r="J705">
        <f>_xlfn.XLOOKUP(E705,'Products Master'!A:A,'Products Master'!C:C)</f>
        <v>35000</v>
      </c>
      <c r="K705" t="str">
        <f>_xlfn.XLOOKUP(E705,'Products Master'!A:A,'Products Master'!D:D)</f>
        <v>HP</v>
      </c>
      <c r="L705">
        <f t="shared" si="40"/>
        <v>225000</v>
      </c>
      <c r="M705">
        <f t="shared" si="41"/>
        <v>175000</v>
      </c>
      <c r="N705">
        <f t="shared" si="42"/>
        <v>50000</v>
      </c>
      <c r="O705" s="2">
        <f t="shared" si="43"/>
        <v>0.22222222222222221</v>
      </c>
    </row>
    <row r="706" spans="1:15">
      <c r="A706" t="s">
        <v>1151</v>
      </c>
      <c r="B706" t="s">
        <v>208</v>
      </c>
      <c r="C706" t="s">
        <v>263</v>
      </c>
      <c r="D706" t="s">
        <v>29</v>
      </c>
      <c r="E706" t="s">
        <v>49</v>
      </c>
      <c r="F706">
        <v>2</v>
      </c>
      <c r="G706">
        <v>9500</v>
      </c>
      <c r="H706" t="s">
        <v>41</v>
      </c>
      <c r="I706" t="str">
        <f>_xlfn.XLOOKUP(E706,'Products Master'!A:A,'Products Master'!B:B)</f>
        <v>Accessories</v>
      </c>
      <c r="J706">
        <f>_xlfn.XLOOKUP(E706,'Products Master'!A:A,'Products Master'!C:C)</f>
        <v>7000</v>
      </c>
      <c r="K706" t="str">
        <f>_xlfn.XLOOKUP(E706,'Products Master'!A:A,'Products Master'!D:D)</f>
        <v>Logitech</v>
      </c>
      <c r="L706">
        <f t="shared" si="40"/>
        <v>19000</v>
      </c>
      <c r="M706">
        <f t="shared" si="41"/>
        <v>14000</v>
      </c>
      <c r="N706">
        <f t="shared" si="42"/>
        <v>5000</v>
      </c>
      <c r="O706" s="2">
        <f t="shared" si="43"/>
        <v>0.26315789473684209</v>
      </c>
    </row>
    <row r="707" spans="1:15">
      <c r="A707" t="s">
        <v>1152</v>
      </c>
      <c r="B707" t="s">
        <v>1153</v>
      </c>
      <c r="C707" t="s">
        <v>186</v>
      </c>
      <c r="D707" t="s">
        <v>115</v>
      </c>
      <c r="E707" t="s">
        <v>49</v>
      </c>
      <c r="F707">
        <v>4</v>
      </c>
      <c r="G707">
        <v>9500</v>
      </c>
      <c r="H707" t="s">
        <v>95</v>
      </c>
      <c r="I707" t="str">
        <f>_xlfn.XLOOKUP(E707,'Products Master'!A:A,'Products Master'!B:B)</f>
        <v>Accessories</v>
      </c>
      <c r="J707">
        <f>_xlfn.XLOOKUP(E707,'Products Master'!A:A,'Products Master'!C:C)</f>
        <v>7000</v>
      </c>
      <c r="K707" t="str">
        <f>_xlfn.XLOOKUP(E707,'Products Master'!A:A,'Products Master'!D:D)</f>
        <v>Logitech</v>
      </c>
      <c r="L707">
        <f t="shared" ref="L707:L770" si="44">F707*G707</f>
        <v>38000</v>
      </c>
      <c r="M707">
        <f t="shared" ref="M707:M770" si="45">F707*J707</f>
        <v>28000</v>
      </c>
      <c r="N707">
        <f t="shared" ref="N707:N770" si="46">L707-M707</f>
        <v>10000</v>
      </c>
      <c r="O707" s="2">
        <f t="shared" ref="O707:O770" si="47">N707/L707</f>
        <v>0.26315789473684209</v>
      </c>
    </row>
    <row r="708" spans="1:15">
      <c r="A708" t="s">
        <v>1154</v>
      </c>
      <c r="B708" t="s">
        <v>305</v>
      </c>
      <c r="C708" t="s">
        <v>539</v>
      </c>
      <c r="D708" t="s">
        <v>111</v>
      </c>
      <c r="E708" t="s">
        <v>18</v>
      </c>
      <c r="F708">
        <v>3</v>
      </c>
      <c r="G708">
        <v>45000</v>
      </c>
      <c r="H708" t="s">
        <v>116</v>
      </c>
      <c r="I708" t="str">
        <f>_xlfn.XLOOKUP(E708,'Products Master'!A:A,'Products Master'!B:B)</f>
        <v>Electronics</v>
      </c>
      <c r="J708">
        <f>_xlfn.XLOOKUP(E708,'Products Master'!A:A,'Products Master'!C:C)</f>
        <v>35000</v>
      </c>
      <c r="K708" t="str">
        <f>_xlfn.XLOOKUP(E708,'Products Master'!A:A,'Products Master'!D:D)</f>
        <v>HP</v>
      </c>
      <c r="L708">
        <f t="shared" si="44"/>
        <v>135000</v>
      </c>
      <c r="M708">
        <f t="shared" si="45"/>
        <v>105000</v>
      </c>
      <c r="N708">
        <f t="shared" si="46"/>
        <v>30000</v>
      </c>
      <c r="O708" s="2">
        <f t="shared" si="47"/>
        <v>0.22222222222222221</v>
      </c>
    </row>
    <row r="709" spans="1:15">
      <c r="A709" t="s">
        <v>1155</v>
      </c>
      <c r="B709" t="s">
        <v>265</v>
      </c>
      <c r="C709" t="s">
        <v>303</v>
      </c>
      <c r="D709" t="s">
        <v>115</v>
      </c>
      <c r="E709" t="s">
        <v>40</v>
      </c>
      <c r="F709">
        <v>4</v>
      </c>
      <c r="G709">
        <v>60000</v>
      </c>
      <c r="H709" t="s">
        <v>30</v>
      </c>
      <c r="I709" t="str">
        <f>_xlfn.XLOOKUP(E709,'Products Master'!A:A,'Products Master'!B:B)</f>
        <v>Electronics</v>
      </c>
      <c r="J709">
        <f>_xlfn.XLOOKUP(E709,'Products Master'!A:A,'Products Master'!C:C)</f>
        <v>50000</v>
      </c>
      <c r="K709" t="str">
        <f>_xlfn.XLOOKUP(E709,'Products Master'!A:A,'Products Master'!D:D)</f>
        <v>LG</v>
      </c>
      <c r="L709">
        <f t="shared" si="44"/>
        <v>240000</v>
      </c>
      <c r="M709">
        <f t="shared" si="45"/>
        <v>200000</v>
      </c>
      <c r="N709">
        <f t="shared" si="46"/>
        <v>40000</v>
      </c>
      <c r="O709" s="2">
        <f t="shared" si="47"/>
        <v>0.16666666666666666</v>
      </c>
    </row>
    <row r="710" spans="1:15">
      <c r="A710" t="s">
        <v>1156</v>
      </c>
      <c r="B710" t="s">
        <v>724</v>
      </c>
      <c r="C710" t="s">
        <v>454</v>
      </c>
      <c r="D710" t="s">
        <v>111</v>
      </c>
      <c r="E710" t="s">
        <v>179</v>
      </c>
      <c r="F710">
        <v>4</v>
      </c>
      <c r="G710">
        <v>80000</v>
      </c>
      <c r="H710" t="s">
        <v>50</v>
      </c>
      <c r="I710" t="str">
        <f>_xlfn.XLOOKUP(E710,'Products Master'!A:A,'Products Master'!B:B)</f>
        <v>Electronics</v>
      </c>
      <c r="J710">
        <f>_xlfn.XLOOKUP(E710,'Products Master'!A:A,'Products Master'!C:C)</f>
        <v>65000</v>
      </c>
      <c r="K710" t="str">
        <f>_xlfn.XLOOKUP(E710,'Products Master'!A:A,'Products Master'!D:D)</f>
        <v>Samsung</v>
      </c>
      <c r="L710">
        <f t="shared" si="44"/>
        <v>320000</v>
      </c>
      <c r="M710">
        <f t="shared" si="45"/>
        <v>260000</v>
      </c>
      <c r="N710">
        <f t="shared" si="46"/>
        <v>60000</v>
      </c>
      <c r="O710" s="2">
        <f t="shared" si="47"/>
        <v>0.1875</v>
      </c>
    </row>
    <row r="711" spans="1:15">
      <c r="A711" t="s">
        <v>1157</v>
      </c>
      <c r="B711" t="s">
        <v>65</v>
      </c>
      <c r="C711" t="s">
        <v>375</v>
      </c>
      <c r="D711" t="s">
        <v>111</v>
      </c>
      <c r="E711" t="s">
        <v>179</v>
      </c>
      <c r="F711">
        <v>3</v>
      </c>
      <c r="G711">
        <v>80000</v>
      </c>
      <c r="H711" t="s">
        <v>50</v>
      </c>
      <c r="I711" t="str">
        <f>_xlfn.XLOOKUP(E711,'Products Master'!A:A,'Products Master'!B:B)</f>
        <v>Electronics</v>
      </c>
      <c r="J711">
        <f>_xlfn.XLOOKUP(E711,'Products Master'!A:A,'Products Master'!C:C)</f>
        <v>65000</v>
      </c>
      <c r="K711" t="str">
        <f>_xlfn.XLOOKUP(E711,'Products Master'!A:A,'Products Master'!D:D)</f>
        <v>Samsung</v>
      </c>
      <c r="L711">
        <f t="shared" si="44"/>
        <v>240000</v>
      </c>
      <c r="M711">
        <f t="shared" si="45"/>
        <v>195000</v>
      </c>
      <c r="N711">
        <f t="shared" si="46"/>
        <v>45000</v>
      </c>
      <c r="O711" s="2">
        <f t="shared" si="47"/>
        <v>0.1875</v>
      </c>
    </row>
    <row r="712" spans="1:15">
      <c r="A712" t="s">
        <v>1158</v>
      </c>
      <c r="B712" t="s">
        <v>1043</v>
      </c>
      <c r="C712" t="s">
        <v>370</v>
      </c>
      <c r="D712" t="s">
        <v>23</v>
      </c>
      <c r="E712" t="s">
        <v>49</v>
      </c>
      <c r="F712">
        <v>5</v>
      </c>
      <c r="G712">
        <v>9500</v>
      </c>
      <c r="H712" t="s">
        <v>13</v>
      </c>
      <c r="I712" t="str">
        <f>_xlfn.XLOOKUP(E712,'Products Master'!A:A,'Products Master'!B:B)</f>
        <v>Accessories</v>
      </c>
      <c r="J712">
        <f>_xlfn.XLOOKUP(E712,'Products Master'!A:A,'Products Master'!C:C)</f>
        <v>7000</v>
      </c>
      <c r="K712" t="str">
        <f>_xlfn.XLOOKUP(E712,'Products Master'!A:A,'Products Master'!D:D)</f>
        <v>Logitech</v>
      </c>
      <c r="L712">
        <f t="shared" si="44"/>
        <v>47500</v>
      </c>
      <c r="M712">
        <f t="shared" si="45"/>
        <v>35000</v>
      </c>
      <c r="N712">
        <f t="shared" si="46"/>
        <v>12500</v>
      </c>
      <c r="O712" s="2">
        <f t="shared" si="47"/>
        <v>0.26315789473684209</v>
      </c>
    </row>
    <row r="713" spans="1:15">
      <c r="A713" t="s">
        <v>1159</v>
      </c>
      <c r="B713" t="s">
        <v>778</v>
      </c>
      <c r="C713" t="s">
        <v>134</v>
      </c>
      <c r="D713" t="s">
        <v>34</v>
      </c>
      <c r="E713" t="s">
        <v>18</v>
      </c>
      <c r="F713">
        <v>2</v>
      </c>
      <c r="G713">
        <v>45000</v>
      </c>
      <c r="H713" t="s">
        <v>41</v>
      </c>
      <c r="I713" t="str">
        <f>_xlfn.XLOOKUP(E713,'Products Master'!A:A,'Products Master'!B:B)</f>
        <v>Electronics</v>
      </c>
      <c r="J713">
        <f>_xlfn.XLOOKUP(E713,'Products Master'!A:A,'Products Master'!C:C)</f>
        <v>35000</v>
      </c>
      <c r="K713" t="str">
        <f>_xlfn.XLOOKUP(E713,'Products Master'!A:A,'Products Master'!D:D)</f>
        <v>HP</v>
      </c>
      <c r="L713">
        <f t="shared" si="44"/>
        <v>90000</v>
      </c>
      <c r="M713">
        <f t="shared" si="45"/>
        <v>70000</v>
      </c>
      <c r="N713">
        <f t="shared" si="46"/>
        <v>20000</v>
      </c>
      <c r="O713" s="2">
        <f t="shared" si="47"/>
        <v>0.22222222222222221</v>
      </c>
    </row>
    <row r="714" spans="1:15">
      <c r="A714" t="s">
        <v>1160</v>
      </c>
      <c r="B714" t="s">
        <v>925</v>
      </c>
      <c r="C714" t="s">
        <v>476</v>
      </c>
      <c r="D714" t="s">
        <v>17</v>
      </c>
      <c r="E714" t="s">
        <v>18</v>
      </c>
      <c r="F714">
        <v>2</v>
      </c>
      <c r="G714">
        <v>45000</v>
      </c>
      <c r="H714" t="s">
        <v>116</v>
      </c>
      <c r="I714" t="str">
        <f>_xlfn.XLOOKUP(E714,'Products Master'!A:A,'Products Master'!B:B)</f>
        <v>Electronics</v>
      </c>
      <c r="J714">
        <f>_xlfn.XLOOKUP(E714,'Products Master'!A:A,'Products Master'!C:C)</f>
        <v>35000</v>
      </c>
      <c r="K714" t="str">
        <f>_xlfn.XLOOKUP(E714,'Products Master'!A:A,'Products Master'!D:D)</f>
        <v>HP</v>
      </c>
      <c r="L714">
        <f t="shared" si="44"/>
        <v>90000</v>
      </c>
      <c r="M714">
        <f t="shared" si="45"/>
        <v>70000</v>
      </c>
      <c r="N714">
        <f t="shared" si="46"/>
        <v>20000</v>
      </c>
      <c r="O714" s="2">
        <f t="shared" si="47"/>
        <v>0.22222222222222221</v>
      </c>
    </row>
    <row r="715" spans="1:15">
      <c r="A715" t="s">
        <v>1161</v>
      </c>
      <c r="B715" t="s">
        <v>405</v>
      </c>
      <c r="C715" t="s">
        <v>91</v>
      </c>
      <c r="D715" t="s">
        <v>111</v>
      </c>
      <c r="E715" t="s">
        <v>179</v>
      </c>
      <c r="F715">
        <v>5</v>
      </c>
      <c r="G715">
        <v>80000</v>
      </c>
      <c r="H715" t="s">
        <v>25</v>
      </c>
      <c r="I715" t="str">
        <f>_xlfn.XLOOKUP(E715,'Products Master'!A:A,'Products Master'!B:B)</f>
        <v>Electronics</v>
      </c>
      <c r="J715">
        <f>_xlfn.XLOOKUP(E715,'Products Master'!A:A,'Products Master'!C:C)</f>
        <v>65000</v>
      </c>
      <c r="K715" t="str">
        <f>_xlfn.XLOOKUP(E715,'Products Master'!A:A,'Products Master'!D:D)</f>
        <v>Samsung</v>
      </c>
      <c r="L715">
        <f t="shared" si="44"/>
        <v>400000</v>
      </c>
      <c r="M715">
        <f t="shared" si="45"/>
        <v>325000</v>
      </c>
      <c r="N715">
        <f t="shared" si="46"/>
        <v>75000</v>
      </c>
      <c r="O715" s="2">
        <f t="shared" si="47"/>
        <v>0.1875</v>
      </c>
    </row>
    <row r="716" spans="1:15">
      <c r="A716" t="s">
        <v>1162</v>
      </c>
      <c r="B716" t="s">
        <v>516</v>
      </c>
      <c r="C716" t="s">
        <v>48</v>
      </c>
      <c r="D716" t="s">
        <v>115</v>
      </c>
      <c r="E716" t="s">
        <v>99</v>
      </c>
      <c r="F716">
        <v>3</v>
      </c>
      <c r="G716">
        <v>5000</v>
      </c>
      <c r="H716" t="s">
        <v>13</v>
      </c>
      <c r="I716" t="str">
        <f>_xlfn.XLOOKUP(E716,'Products Master'!A:A,'Products Master'!B:B)</f>
        <v>Accessories</v>
      </c>
      <c r="J716">
        <f>_xlfn.XLOOKUP(E716,'Products Master'!A:A,'Products Master'!C:C)</f>
        <v>3500</v>
      </c>
      <c r="K716" t="str">
        <f>_xlfn.XLOOKUP(E716,'Products Master'!A:A,'Products Master'!D:D)</f>
        <v>Logitech</v>
      </c>
      <c r="L716">
        <f t="shared" si="44"/>
        <v>15000</v>
      </c>
      <c r="M716">
        <f t="shared" si="45"/>
        <v>10500</v>
      </c>
      <c r="N716">
        <f t="shared" si="46"/>
        <v>4500</v>
      </c>
      <c r="O716" s="2">
        <f t="shared" si="47"/>
        <v>0.3</v>
      </c>
    </row>
    <row r="717" spans="1:15">
      <c r="A717" t="s">
        <v>1163</v>
      </c>
      <c r="B717" t="s">
        <v>62</v>
      </c>
      <c r="C717" t="s">
        <v>176</v>
      </c>
      <c r="D717" t="s">
        <v>29</v>
      </c>
      <c r="E717" t="s">
        <v>35</v>
      </c>
      <c r="F717">
        <v>1</v>
      </c>
      <c r="G717">
        <v>2000</v>
      </c>
      <c r="H717" t="s">
        <v>41</v>
      </c>
      <c r="I717" t="str">
        <f>_xlfn.XLOOKUP(E717,'Products Master'!A:A,'Products Master'!B:B)</f>
        <v>Storage</v>
      </c>
      <c r="J717">
        <f>_xlfn.XLOOKUP(E717,'Products Master'!A:A,'Products Master'!C:C)</f>
        <v>1200</v>
      </c>
      <c r="K717" t="str">
        <f>_xlfn.XLOOKUP(E717,'Products Master'!A:A,'Products Master'!D:D)</f>
        <v>SanDisk</v>
      </c>
      <c r="L717">
        <f t="shared" si="44"/>
        <v>2000</v>
      </c>
      <c r="M717">
        <f t="shared" si="45"/>
        <v>1200</v>
      </c>
      <c r="N717">
        <f t="shared" si="46"/>
        <v>800</v>
      </c>
      <c r="O717" s="2">
        <f t="shared" si="47"/>
        <v>0.4</v>
      </c>
    </row>
    <row r="718" spans="1:15">
      <c r="A718" t="s">
        <v>1164</v>
      </c>
      <c r="B718" t="s">
        <v>204</v>
      </c>
      <c r="C718" t="s">
        <v>88</v>
      </c>
      <c r="D718" t="s">
        <v>34</v>
      </c>
      <c r="E718" t="s">
        <v>124</v>
      </c>
      <c r="F718">
        <v>2</v>
      </c>
      <c r="G718">
        <v>18000</v>
      </c>
      <c r="H718" t="s">
        <v>95</v>
      </c>
      <c r="I718" t="str">
        <f>_xlfn.XLOOKUP(E718,'Products Master'!A:A,'Products Master'!B:B)</f>
        <v>Storage</v>
      </c>
      <c r="J718">
        <f>_xlfn.XLOOKUP(E718,'Products Master'!A:A,'Products Master'!C:C)</f>
        <v>12000</v>
      </c>
      <c r="K718" t="str">
        <f>_xlfn.XLOOKUP(E718,'Products Master'!A:A,'Products Master'!D:D)</f>
        <v>Kingston</v>
      </c>
      <c r="L718">
        <f t="shared" si="44"/>
        <v>36000</v>
      </c>
      <c r="M718">
        <f t="shared" si="45"/>
        <v>24000</v>
      </c>
      <c r="N718">
        <f t="shared" si="46"/>
        <v>12000</v>
      </c>
      <c r="O718" s="2">
        <f t="shared" si="47"/>
        <v>0.33333333333333331</v>
      </c>
    </row>
    <row r="719" spans="1:15">
      <c r="A719" t="s">
        <v>1165</v>
      </c>
      <c r="B719" t="s">
        <v>637</v>
      </c>
      <c r="C719" t="s">
        <v>44</v>
      </c>
      <c r="D719" t="s">
        <v>115</v>
      </c>
      <c r="E719" t="s">
        <v>124</v>
      </c>
      <c r="F719">
        <v>5</v>
      </c>
      <c r="G719">
        <v>18000</v>
      </c>
      <c r="H719" t="s">
        <v>116</v>
      </c>
      <c r="I719" t="str">
        <f>_xlfn.XLOOKUP(E719,'Products Master'!A:A,'Products Master'!B:B)</f>
        <v>Storage</v>
      </c>
      <c r="J719">
        <f>_xlfn.XLOOKUP(E719,'Products Master'!A:A,'Products Master'!C:C)</f>
        <v>12000</v>
      </c>
      <c r="K719" t="str">
        <f>_xlfn.XLOOKUP(E719,'Products Master'!A:A,'Products Master'!D:D)</f>
        <v>Kingston</v>
      </c>
      <c r="L719">
        <f t="shared" si="44"/>
        <v>90000</v>
      </c>
      <c r="M719">
        <f t="shared" si="45"/>
        <v>60000</v>
      </c>
      <c r="N719">
        <f t="shared" si="46"/>
        <v>30000</v>
      </c>
      <c r="O719" s="2">
        <f t="shared" si="47"/>
        <v>0.33333333333333331</v>
      </c>
    </row>
    <row r="720" spans="1:15">
      <c r="A720" t="s">
        <v>1166</v>
      </c>
      <c r="B720" t="s">
        <v>65</v>
      </c>
      <c r="C720" t="s">
        <v>337</v>
      </c>
      <c r="D720" t="s">
        <v>34</v>
      </c>
      <c r="E720" t="s">
        <v>40</v>
      </c>
      <c r="F720">
        <v>3</v>
      </c>
      <c r="G720">
        <v>60000</v>
      </c>
      <c r="H720" t="s">
        <v>95</v>
      </c>
      <c r="I720" t="str">
        <f>_xlfn.XLOOKUP(E720,'Products Master'!A:A,'Products Master'!B:B)</f>
        <v>Electronics</v>
      </c>
      <c r="J720">
        <f>_xlfn.XLOOKUP(E720,'Products Master'!A:A,'Products Master'!C:C)</f>
        <v>50000</v>
      </c>
      <c r="K720" t="str">
        <f>_xlfn.XLOOKUP(E720,'Products Master'!A:A,'Products Master'!D:D)</f>
        <v>LG</v>
      </c>
      <c r="L720">
        <f t="shared" si="44"/>
        <v>180000</v>
      </c>
      <c r="M720">
        <f t="shared" si="45"/>
        <v>150000</v>
      </c>
      <c r="N720">
        <f t="shared" si="46"/>
        <v>30000</v>
      </c>
      <c r="O720" s="2">
        <f t="shared" si="47"/>
        <v>0.16666666666666666</v>
      </c>
    </row>
    <row r="721" spans="1:15">
      <c r="A721" t="s">
        <v>1167</v>
      </c>
      <c r="B721" t="s">
        <v>670</v>
      </c>
      <c r="C721" t="s">
        <v>152</v>
      </c>
      <c r="D721" t="s">
        <v>11</v>
      </c>
      <c r="E721" t="s">
        <v>12</v>
      </c>
      <c r="F721">
        <v>5</v>
      </c>
      <c r="G721">
        <v>150000</v>
      </c>
      <c r="H721" t="s">
        <v>36</v>
      </c>
      <c r="I721" t="str">
        <f>_xlfn.XLOOKUP(E721,'Products Master'!A:A,'Products Master'!B:B)</f>
        <v>Electronics</v>
      </c>
      <c r="J721">
        <f>_xlfn.XLOOKUP(E721,'Products Master'!A:A,'Products Master'!C:C)</f>
        <v>120000</v>
      </c>
      <c r="K721" t="str">
        <f>_xlfn.XLOOKUP(E721,'Products Master'!A:A,'Products Master'!D:D)</f>
        <v>Dell</v>
      </c>
      <c r="L721">
        <f t="shared" si="44"/>
        <v>750000</v>
      </c>
      <c r="M721">
        <f t="shared" si="45"/>
        <v>600000</v>
      </c>
      <c r="N721">
        <f t="shared" si="46"/>
        <v>150000</v>
      </c>
      <c r="O721" s="2">
        <f t="shared" si="47"/>
        <v>0.2</v>
      </c>
    </row>
    <row r="722" spans="1:15">
      <c r="A722" t="s">
        <v>1168</v>
      </c>
      <c r="B722" t="s">
        <v>1169</v>
      </c>
      <c r="C722" t="s">
        <v>134</v>
      </c>
      <c r="D722" t="s">
        <v>45</v>
      </c>
      <c r="E722" t="s">
        <v>24</v>
      </c>
      <c r="F722">
        <v>2</v>
      </c>
      <c r="G722">
        <v>2500</v>
      </c>
      <c r="H722" t="s">
        <v>36</v>
      </c>
      <c r="I722" t="str">
        <f>_xlfn.XLOOKUP(E722,'Products Master'!A:A,'Products Master'!B:B)</f>
        <v>Accessories</v>
      </c>
      <c r="J722">
        <f>_xlfn.XLOOKUP(E722,'Products Master'!A:A,'Products Master'!C:C)</f>
        <v>1500</v>
      </c>
      <c r="K722" t="str">
        <f>_xlfn.XLOOKUP(E722,'Products Master'!A:A,'Products Master'!D:D)</f>
        <v>Logitech</v>
      </c>
      <c r="L722">
        <f t="shared" si="44"/>
        <v>5000</v>
      </c>
      <c r="M722">
        <f t="shared" si="45"/>
        <v>3000</v>
      </c>
      <c r="N722">
        <f t="shared" si="46"/>
        <v>2000</v>
      </c>
      <c r="O722" s="2">
        <f t="shared" si="47"/>
        <v>0.4</v>
      </c>
    </row>
    <row r="723" spans="1:15">
      <c r="A723" t="s">
        <v>1170</v>
      </c>
      <c r="B723" t="s">
        <v>1125</v>
      </c>
      <c r="C723" t="s">
        <v>201</v>
      </c>
      <c r="D723" t="s">
        <v>23</v>
      </c>
      <c r="E723" t="s">
        <v>124</v>
      </c>
      <c r="F723">
        <v>4</v>
      </c>
      <c r="G723">
        <v>18000</v>
      </c>
      <c r="H723" t="s">
        <v>66</v>
      </c>
      <c r="I723" t="str">
        <f>_xlfn.XLOOKUP(E723,'Products Master'!A:A,'Products Master'!B:B)</f>
        <v>Storage</v>
      </c>
      <c r="J723">
        <f>_xlfn.XLOOKUP(E723,'Products Master'!A:A,'Products Master'!C:C)</f>
        <v>12000</v>
      </c>
      <c r="K723" t="str">
        <f>_xlfn.XLOOKUP(E723,'Products Master'!A:A,'Products Master'!D:D)</f>
        <v>Kingston</v>
      </c>
      <c r="L723">
        <f t="shared" si="44"/>
        <v>72000</v>
      </c>
      <c r="M723">
        <f t="shared" si="45"/>
        <v>48000</v>
      </c>
      <c r="N723">
        <f t="shared" si="46"/>
        <v>24000</v>
      </c>
      <c r="O723" s="2">
        <f t="shared" si="47"/>
        <v>0.33333333333333331</v>
      </c>
    </row>
    <row r="724" spans="1:15">
      <c r="A724" t="s">
        <v>1171</v>
      </c>
      <c r="B724" t="s">
        <v>237</v>
      </c>
      <c r="C724" t="s">
        <v>69</v>
      </c>
      <c r="D724" t="s">
        <v>111</v>
      </c>
      <c r="E724" t="s">
        <v>35</v>
      </c>
      <c r="F724">
        <v>4</v>
      </c>
      <c r="G724">
        <v>2000</v>
      </c>
      <c r="H724" t="s">
        <v>116</v>
      </c>
      <c r="I724" t="str">
        <f>_xlfn.XLOOKUP(E724,'Products Master'!A:A,'Products Master'!B:B)</f>
        <v>Storage</v>
      </c>
      <c r="J724">
        <f>_xlfn.XLOOKUP(E724,'Products Master'!A:A,'Products Master'!C:C)</f>
        <v>1200</v>
      </c>
      <c r="K724" t="str">
        <f>_xlfn.XLOOKUP(E724,'Products Master'!A:A,'Products Master'!D:D)</f>
        <v>SanDisk</v>
      </c>
      <c r="L724">
        <f t="shared" si="44"/>
        <v>8000</v>
      </c>
      <c r="M724">
        <f t="shared" si="45"/>
        <v>4800</v>
      </c>
      <c r="N724">
        <f t="shared" si="46"/>
        <v>3200</v>
      </c>
      <c r="O724" s="2">
        <f t="shared" si="47"/>
        <v>0.4</v>
      </c>
    </row>
    <row r="725" spans="1:15">
      <c r="A725" t="s">
        <v>1172</v>
      </c>
      <c r="B725" t="s">
        <v>1153</v>
      </c>
      <c r="C725" t="s">
        <v>568</v>
      </c>
      <c r="D725" t="s">
        <v>17</v>
      </c>
      <c r="E725" t="s">
        <v>12</v>
      </c>
      <c r="F725">
        <v>4</v>
      </c>
      <c r="G725">
        <v>150000</v>
      </c>
      <c r="H725" t="s">
        <v>13</v>
      </c>
      <c r="I725" t="str">
        <f>_xlfn.XLOOKUP(E725,'Products Master'!A:A,'Products Master'!B:B)</f>
        <v>Electronics</v>
      </c>
      <c r="J725">
        <f>_xlfn.XLOOKUP(E725,'Products Master'!A:A,'Products Master'!C:C)</f>
        <v>120000</v>
      </c>
      <c r="K725" t="str">
        <f>_xlfn.XLOOKUP(E725,'Products Master'!A:A,'Products Master'!D:D)</f>
        <v>Dell</v>
      </c>
      <c r="L725">
        <f t="shared" si="44"/>
        <v>600000</v>
      </c>
      <c r="M725">
        <f t="shared" si="45"/>
        <v>480000</v>
      </c>
      <c r="N725">
        <f t="shared" si="46"/>
        <v>120000</v>
      </c>
      <c r="O725" s="2">
        <f t="shared" si="47"/>
        <v>0.2</v>
      </c>
    </row>
    <row r="726" spans="1:15">
      <c r="A726" t="s">
        <v>1173</v>
      </c>
      <c r="B726" t="s">
        <v>339</v>
      </c>
      <c r="C726" t="s">
        <v>98</v>
      </c>
      <c r="D726" t="s">
        <v>17</v>
      </c>
      <c r="E726" t="s">
        <v>49</v>
      </c>
      <c r="F726">
        <v>5</v>
      </c>
      <c r="G726">
        <v>9500</v>
      </c>
      <c r="H726" t="s">
        <v>50</v>
      </c>
      <c r="I726" t="str">
        <f>_xlfn.XLOOKUP(E726,'Products Master'!A:A,'Products Master'!B:B)</f>
        <v>Accessories</v>
      </c>
      <c r="J726">
        <f>_xlfn.XLOOKUP(E726,'Products Master'!A:A,'Products Master'!C:C)</f>
        <v>7000</v>
      </c>
      <c r="K726" t="str">
        <f>_xlfn.XLOOKUP(E726,'Products Master'!A:A,'Products Master'!D:D)</f>
        <v>Logitech</v>
      </c>
      <c r="L726">
        <f t="shared" si="44"/>
        <v>47500</v>
      </c>
      <c r="M726">
        <f t="shared" si="45"/>
        <v>35000</v>
      </c>
      <c r="N726">
        <f t="shared" si="46"/>
        <v>12500</v>
      </c>
      <c r="O726" s="2">
        <f t="shared" si="47"/>
        <v>0.26315789473684209</v>
      </c>
    </row>
    <row r="727" spans="1:15">
      <c r="A727" t="s">
        <v>1174</v>
      </c>
      <c r="B727" t="s">
        <v>1137</v>
      </c>
      <c r="C727" t="s">
        <v>247</v>
      </c>
      <c r="D727" t="s">
        <v>115</v>
      </c>
      <c r="E727" t="s">
        <v>24</v>
      </c>
      <c r="F727">
        <v>3</v>
      </c>
      <c r="G727">
        <v>2500</v>
      </c>
      <c r="H727" t="s">
        <v>19</v>
      </c>
      <c r="I727" t="str">
        <f>_xlfn.XLOOKUP(E727,'Products Master'!A:A,'Products Master'!B:B)</f>
        <v>Accessories</v>
      </c>
      <c r="J727">
        <f>_xlfn.XLOOKUP(E727,'Products Master'!A:A,'Products Master'!C:C)</f>
        <v>1500</v>
      </c>
      <c r="K727" t="str">
        <f>_xlfn.XLOOKUP(E727,'Products Master'!A:A,'Products Master'!D:D)</f>
        <v>Logitech</v>
      </c>
      <c r="L727">
        <f t="shared" si="44"/>
        <v>7500</v>
      </c>
      <c r="M727">
        <f t="shared" si="45"/>
        <v>4500</v>
      </c>
      <c r="N727">
        <f t="shared" si="46"/>
        <v>3000</v>
      </c>
      <c r="O727" s="2">
        <f t="shared" si="47"/>
        <v>0.4</v>
      </c>
    </row>
    <row r="728" spans="1:15">
      <c r="A728" t="s">
        <v>1175</v>
      </c>
      <c r="B728" t="s">
        <v>1176</v>
      </c>
      <c r="C728" t="s">
        <v>341</v>
      </c>
      <c r="D728" t="s">
        <v>17</v>
      </c>
      <c r="E728" t="s">
        <v>124</v>
      </c>
      <c r="F728">
        <v>2</v>
      </c>
      <c r="G728">
        <v>18000</v>
      </c>
      <c r="H728" t="s">
        <v>116</v>
      </c>
      <c r="I728" t="str">
        <f>_xlfn.XLOOKUP(E728,'Products Master'!A:A,'Products Master'!B:B)</f>
        <v>Storage</v>
      </c>
      <c r="J728">
        <f>_xlfn.XLOOKUP(E728,'Products Master'!A:A,'Products Master'!C:C)</f>
        <v>12000</v>
      </c>
      <c r="K728" t="str">
        <f>_xlfn.XLOOKUP(E728,'Products Master'!A:A,'Products Master'!D:D)</f>
        <v>Kingston</v>
      </c>
      <c r="L728">
        <f t="shared" si="44"/>
        <v>36000</v>
      </c>
      <c r="M728">
        <f t="shared" si="45"/>
        <v>24000</v>
      </c>
      <c r="N728">
        <f t="shared" si="46"/>
        <v>12000</v>
      </c>
      <c r="O728" s="2">
        <f t="shared" si="47"/>
        <v>0.33333333333333331</v>
      </c>
    </row>
    <row r="729" spans="1:15">
      <c r="A729" t="s">
        <v>1177</v>
      </c>
      <c r="B729" t="s">
        <v>1079</v>
      </c>
      <c r="C729" t="s">
        <v>226</v>
      </c>
      <c r="D729" t="s">
        <v>45</v>
      </c>
      <c r="E729" t="s">
        <v>35</v>
      </c>
      <c r="F729">
        <v>5</v>
      </c>
      <c r="G729">
        <v>2000</v>
      </c>
      <c r="H729" t="s">
        <v>13</v>
      </c>
      <c r="I729" t="str">
        <f>_xlfn.XLOOKUP(E729,'Products Master'!A:A,'Products Master'!B:B)</f>
        <v>Storage</v>
      </c>
      <c r="J729">
        <f>_xlfn.XLOOKUP(E729,'Products Master'!A:A,'Products Master'!C:C)</f>
        <v>1200</v>
      </c>
      <c r="K729" t="str">
        <f>_xlfn.XLOOKUP(E729,'Products Master'!A:A,'Products Master'!D:D)</f>
        <v>SanDisk</v>
      </c>
      <c r="L729">
        <f t="shared" si="44"/>
        <v>10000</v>
      </c>
      <c r="M729">
        <f t="shared" si="45"/>
        <v>6000</v>
      </c>
      <c r="N729">
        <f t="shared" si="46"/>
        <v>4000</v>
      </c>
      <c r="O729" s="2">
        <f t="shared" si="47"/>
        <v>0.4</v>
      </c>
    </row>
    <row r="730" spans="1:15">
      <c r="A730" t="s">
        <v>1178</v>
      </c>
      <c r="B730" t="s">
        <v>909</v>
      </c>
      <c r="C730" t="s">
        <v>842</v>
      </c>
      <c r="D730" t="s">
        <v>23</v>
      </c>
      <c r="E730" t="s">
        <v>12</v>
      </c>
      <c r="F730">
        <v>5</v>
      </c>
      <c r="G730">
        <v>150000</v>
      </c>
      <c r="H730" t="s">
        <v>13</v>
      </c>
      <c r="I730" t="str">
        <f>_xlfn.XLOOKUP(E730,'Products Master'!A:A,'Products Master'!B:B)</f>
        <v>Electronics</v>
      </c>
      <c r="J730">
        <f>_xlfn.XLOOKUP(E730,'Products Master'!A:A,'Products Master'!C:C)</f>
        <v>120000</v>
      </c>
      <c r="K730" t="str">
        <f>_xlfn.XLOOKUP(E730,'Products Master'!A:A,'Products Master'!D:D)</f>
        <v>Dell</v>
      </c>
      <c r="L730">
        <f t="shared" si="44"/>
        <v>750000</v>
      </c>
      <c r="M730">
        <f t="shared" si="45"/>
        <v>600000</v>
      </c>
      <c r="N730">
        <f t="shared" si="46"/>
        <v>150000</v>
      </c>
      <c r="O730" s="2">
        <f t="shared" si="47"/>
        <v>0.2</v>
      </c>
    </row>
    <row r="731" spans="1:15">
      <c r="A731" t="s">
        <v>1179</v>
      </c>
      <c r="B731" t="s">
        <v>358</v>
      </c>
      <c r="C731" t="s">
        <v>314</v>
      </c>
      <c r="D731" t="s">
        <v>45</v>
      </c>
      <c r="E731" t="s">
        <v>49</v>
      </c>
      <c r="F731">
        <v>2</v>
      </c>
      <c r="G731">
        <v>9500</v>
      </c>
      <c r="H731" t="s">
        <v>41</v>
      </c>
      <c r="I731" t="str">
        <f>_xlfn.XLOOKUP(E731,'Products Master'!A:A,'Products Master'!B:B)</f>
        <v>Accessories</v>
      </c>
      <c r="J731">
        <f>_xlfn.XLOOKUP(E731,'Products Master'!A:A,'Products Master'!C:C)</f>
        <v>7000</v>
      </c>
      <c r="K731" t="str">
        <f>_xlfn.XLOOKUP(E731,'Products Master'!A:A,'Products Master'!D:D)</f>
        <v>Logitech</v>
      </c>
      <c r="L731">
        <f t="shared" si="44"/>
        <v>19000</v>
      </c>
      <c r="M731">
        <f t="shared" si="45"/>
        <v>14000</v>
      </c>
      <c r="N731">
        <f t="shared" si="46"/>
        <v>5000</v>
      </c>
      <c r="O731" s="2">
        <f t="shared" si="47"/>
        <v>0.26315789473684209</v>
      </c>
    </row>
    <row r="732" spans="1:15">
      <c r="A732" t="s">
        <v>1180</v>
      </c>
      <c r="B732" t="s">
        <v>1181</v>
      </c>
      <c r="C732" t="s">
        <v>400</v>
      </c>
      <c r="D732" t="s">
        <v>45</v>
      </c>
      <c r="E732" t="s">
        <v>18</v>
      </c>
      <c r="F732">
        <v>5</v>
      </c>
      <c r="G732">
        <v>45000</v>
      </c>
      <c r="H732" t="s">
        <v>36</v>
      </c>
      <c r="I732" t="str">
        <f>_xlfn.XLOOKUP(E732,'Products Master'!A:A,'Products Master'!B:B)</f>
        <v>Electronics</v>
      </c>
      <c r="J732">
        <f>_xlfn.XLOOKUP(E732,'Products Master'!A:A,'Products Master'!C:C)</f>
        <v>35000</v>
      </c>
      <c r="K732" t="str">
        <f>_xlfn.XLOOKUP(E732,'Products Master'!A:A,'Products Master'!D:D)</f>
        <v>HP</v>
      </c>
      <c r="L732">
        <f t="shared" si="44"/>
        <v>225000</v>
      </c>
      <c r="M732">
        <f t="shared" si="45"/>
        <v>175000</v>
      </c>
      <c r="N732">
        <f t="shared" si="46"/>
        <v>50000</v>
      </c>
      <c r="O732" s="2">
        <f t="shared" si="47"/>
        <v>0.22222222222222221</v>
      </c>
    </row>
    <row r="733" spans="1:15">
      <c r="A733" t="s">
        <v>1182</v>
      </c>
      <c r="B733" t="s">
        <v>734</v>
      </c>
      <c r="C733" t="s">
        <v>104</v>
      </c>
      <c r="D733" t="s">
        <v>34</v>
      </c>
      <c r="E733" t="s">
        <v>54</v>
      </c>
      <c r="F733">
        <v>3</v>
      </c>
      <c r="G733">
        <v>7000</v>
      </c>
      <c r="H733" t="s">
        <v>41</v>
      </c>
      <c r="I733" t="str">
        <f>_xlfn.XLOOKUP(E733,'Products Master'!A:A,'Products Master'!B:B)</f>
        <v>Accessories</v>
      </c>
      <c r="J733">
        <f>_xlfn.XLOOKUP(E733,'Products Master'!A:A,'Products Master'!C:C)</f>
        <v>5000</v>
      </c>
      <c r="K733" t="str">
        <f>_xlfn.XLOOKUP(E733,'Products Master'!A:A,'Products Master'!D:D)</f>
        <v>Sony</v>
      </c>
      <c r="L733">
        <f t="shared" si="44"/>
        <v>21000</v>
      </c>
      <c r="M733">
        <f t="shared" si="45"/>
        <v>15000</v>
      </c>
      <c r="N733">
        <f t="shared" si="46"/>
        <v>6000</v>
      </c>
      <c r="O733" s="2">
        <f t="shared" si="47"/>
        <v>0.2857142857142857</v>
      </c>
    </row>
    <row r="734" spans="1:15">
      <c r="A734" t="s">
        <v>1183</v>
      </c>
      <c r="B734" t="s">
        <v>417</v>
      </c>
      <c r="C734" t="s">
        <v>842</v>
      </c>
      <c r="D734" t="s">
        <v>111</v>
      </c>
      <c r="E734" t="s">
        <v>99</v>
      </c>
      <c r="F734">
        <v>5</v>
      </c>
      <c r="G734">
        <v>5000</v>
      </c>
      <c r="H734" t="s">
        <v>25</v>
      </c>
      <c r="I734" t="str">
        <f>_xlfn.XLOOKUP(E734,'Products Master'!A:A,'Products Master'!B:B)</f>
        <v>Accessories</v>
      </c>
      <c r="J734">
        <f>_xlfn.XLOOKUP(E734,'Products Master'!A:A,'Products Master'!C:C)</f>
        <v>3500</v>
      </c>
      <c r="K734" t="str">
        <f>_xlfn.XLOOKUP(E734,'Products Master'!A:A,'Products Master'!D:D)</f>
        <v>Logitech</v>
      </c>
      <c r="L734">
        <f t="shared" si="44"/>
        <v>25000</v>
      </c>
      <c r="M734">
        <f t="shared" si="45"/>
        <v>17500</v>
      </c>
      <c r="N734">
        <f t="shared" si="46"/>
        <v>7500</v>
      </c>
      <c r="O734" s="2">
        <f t="shared" si="47"/>
        <v>0.3</v>
      </c>
    </row>
    <row r="735" spans="1:15">
      <c r="A735" t="s">
        <v>1184</v>
      </c>
      <c r="B735" t="s">
        <v>942</v>
      </c>
      <c r="C735" t="s">
        <v>299</v>
      </c>
      <c r="D735" t="s">
        <v>45</v>
      </c>
      <c r="E735" t="s">
        <v>179</v>
      </c>
      <c r="F735">
        <v>5</v>
      </c>
      <c r="G735">
        <v>80000</v>
      </c>
      <c r="H735" t="s">
        <v>36</v>
      </c>
      <c r="I735" t="str">
        <f>_xlfn.XLOOKUP(E735,'Products Master'!A:A,'Products Master'!B:B)</f>
        <v>Electronics</v>
      </c>
      <c r="J735">
        <f>_xlfn.XLOOKUP(E735,'Products Master'!A:A,'Products Master'!C:C)</f>
        <v>65000</v>
      </c>
      <c r="K735" t="str">
        <f>_xlfn.XLOOKUP(E735,'Products Master'!A:A,'Products Master'!D:D)</f>
        <v>Samsung</v>
      </c>
      <c r="L735">
        <f t="shared" si="44"/>
        <v>400000</v>
      </c>
      <c r="M735">
        <f t="shared" si="45"/>
        <v>325000</v>
      </c>
      <c r="N735">
        <f t="shared" si="46"/>
        <v>75000</v>
      </c>
      <c r="O735" s="2">
        <f t="shared" si="47"/>
        <v>0.1875</v>
      </c>
    </row>
    <row r="736" spans="1:15">
      <c r="A736" t="s">
        <v>1185</v>
      </c>
      <c r="B736" t="s">
        <v>211</v>
      </c>
      <c r="C736" t="s">
        <v>209</v>
      </c>
      <c r="D736" t="s">
        <v>111</v>
      </c>
      <c r="E736" t="s">
        <v>40</v>
      </c>
      <c r="F736">
        <v>1</v>
      </c>
      <c r="G736">
        <v>60000</v>
      </c>
      <c r="H736" t="s">
        <v>30</v>
      </c>
      <c r="I736" t="str">
        <f>_xlfn.XLOOKUP(E736,'Products Master'!A:A,'Products Master'!B:B)</f>
        <v>Electronics</v>
      </c>
      <c r="J736">
        <f>_xlfn.XLOOKUP(E736,'Products Master'!A:A,'Products Master'!C:C)</f>
        <v>50000</v>
      </c>
      <c r="K736" t="str">
        <f>_xlfn.XLOOKUP(E736,'Products Master'!A:A,'Products Master'!D:D)</f>
        <v>LG</v>
      </c>
      <c r="L736">
        <f t="shared" si="44"/>
        <v>60000</v>
      </c>
      <c r="M736">
        <f t="shared" si="45"/>
        <v>50000</v>
      </c>
      <c r="N736">
        <f t="shared" si="46"/>
        <v>10000</v>
      </c>
      <c r="O736" s="2">
        <f t="shared" si="47"/>
        <v>0.16666666666666666</v>
      </c>
    </row>
    <row r="737" spans="1:15">
      <c r="A737" t="s">
        <v>1186</v>
      </c>
      <c r="B737" t="s">
        <v>919</v>
      </c>
      <c r="C737" t="s">
        <v>285</v>
      </c>
      <c r="D737" t="s">
        <v>111</v>
      </c>
      <c r="E737" t="s">
        <v>40</v>
      </c>
      <c r="F737">
        <v>2</v>
      </c>
      <c r="G737">
        <v>60000</v>
      </c>
      <c r="H737" t="s">
        <v>41</v>
      </c>
      <c r="I737" t="str">
        <f>_xlfn.XLOOKUP(E737,'Products Master'!A:A,'Products Master'!B:B)</f>
        <v>Electronics</v>
      </c>
      <c r="J737">
        <f>_xlfn.XLOOKUP(E737,'Products Master'!A:A,'Products Master'!C:C)</f>
        <v>50000</v>
      </c>
      <c r="K737" t="str">
        <f>_xlfn.XLOOKUP(E737,'Products Master'!A:A,'Products Master'!D:D)</f>
        <v>LG</v>
      </c>
      <c r="L737">
        <f t="shared" si="44"/>
        <v>120000</v>
      </c>
      <c r="M737">
        <f t="shared" si="45"/>
        <v>100000</v>
      </c>
      <c r="N737">
        <f t="shared" si="46"/>
        <v>20000</v>
      </c>
      <c r="O737" s="2">
        <f t="shared" si="47"/>
        <v>0.16666666666666666</v>
      </c>
    </row>
    <row r="738" spans="1:15">
      <c r="A738" t="s">
        <v>1187</v>
      </c>
      <c r="B738" t="s">
        <v>1188</v>
      </c>
      <c r="C738" t="s">
        <v>104</v>
      </c>
      <c r="D738" t="s">
        <v>23</v>
      </c>
      <c r="E738" t="s">
        <v>179</v>
      </c>
      <c r="F738">
        <v>3</v>
      </c>
      <c r="G738">
        <v>80000</v>
      </c>
      <c r="H738" t="s">
        <v>50</v>
      </c>
      <c r="I738" t="str">
        <f>_xlfn.XLOOKUP(E738,'Products Master'!A:A,'Products Master'!B:B)</f>
        <v>Electronics</v>
      </c>
      <c r="J738">
        <f>_xlfn.XLOOKUP(E738,'Products Master'!A:A,'Products Master'!C:C)</f>
        <v>65000</v>
      </c>
      <c r="K738" t="str">
        <f>_xlfn.XLOOKUP(E738,'Products Master'!A:A,'Products Master'!D:D)</f>
        <v>Samsung</v>
      </c>
      <c r="L738">
        <f t="shared" si="44"/>
        <v>240000</v>
      </c>
      <c r="M738">
        <f t="shared" si="45"/>
        <v>195000</v>
      </c>
      <c r="N738">
        <f t="shared" si="46"/>
        <v>45000</v>
      </c>
      <c r="O738" s="2">
        <f t="shared" si="47"/>
        <v>0.1875</v>
      </c>
    </row>
    <row r="739" spans="1:15">
      <c r="A739" t="s">
        <v>1189</v>
      </c>
      <c r="B739" t="s">
        <v>699</v>
      </c>
      <c r="C739" t="s">
        <v>152</v>
      </c>
      <c r="D739" t="s">
        <v>29</v>
      </c>
      <c r="E739" t="s">
        <v>40</v>
      </c>
      <c r="F739">
        <v>2</v>
      </c>
      <c r="G739">
        <v>60000</v>
      </c>
      <c r="H739" t="s">
        <v>95</v>
      </c>
      <c r="I739" t="str">
        <f>_xlfn.XLOOKUP(E739,'Products Master'!A:A,'Products Master'!B:B)</f>
        <v>Electronics</v>
      </c>
      <c r="J739">
        <f>_xlfn.XLOOKUP(E739,'Products Master'!A:A,'Products Master'!C:C)</f>
        <v>50000</v>
      </c>
      <c r="K739" t="str">
        <f>_xlfn.XLOOKUP(E739,'Products Master'!A:A,'Products Master'!D:D)</f>
        <v>LG</v>
      </c>
      <c r="L739">
        <f t="shared" si="44"/>
        <v>120000</v>
      </c>
      <c r="M739">
        <f t="shared" si="45"/>
        <v>100000</v>
      </c>
      <c r="N739">
        <f t="shared" si="46"/>
        <v>20000</v>
      </c>
      <c r="O739" s="2">
        <f t="shared" si="47"/>
        <v>0.16666666666666666</v>
      </c>
    </row>
    <row r="740" spans="1:15">
      <c r="A740" t="s">
        <v>1190</v>
      </c>
      <c r="B740" t="s">
        <v>1011</v>
      </c>
      <c r="C740" t="s">
        <v>543</v>
      </c>
      <c r="D740" t="s">
        <v>45</v>
      </c>
      <c r="E740" t="s">
        <v>35</v>
      </c>
      <c r="F740">
        <v>2</v>
      </c>
      <c r="G740">
        <v>2000</v>
      </c>
      <c r="H740" t="s">
        <v>36</v>
      </c>
      <c r="I740" t="str">
        <f>_xlfn.XLOOKUP(E740,'Products Master'!A:A,'Products Master'!B:B)</f>
        <v>Storage</v>
      </c>
      <c r="J740">
        <f>_xlfn.XLOOKUP(E740,'Products Master'!A:A,'Products Master'!C:C)</f>
        <v>1200</v>
      </c>
      <c r="K740" t="str">
        <f>_xlfn.XLOOKUP(E740,'Products Master'!A:A,'Products Master'!D:D)</f>
        <v>SanDisk</v>
      </c>
      <c r="L740">
        <f t="shared" si="44"/>
        <v>4000</v>
      </c>
      <c r="M740">
        <f t="shared" si="45"/>
        <v>2400</v>
      </c>
      <c r="N740">
        <f t="shared" si="46"/>
        <v>1600</v>
      </c>
      <c r="O740" s="2">
        <f t="shared" si="47"/>
        <v>0.4</v>
      </c>
    </row>
    <row r="741" spans="1:15">
      <c r="A741" t="s">
        <v>1191</v>
      </c>
      <c r="B741" t="s">
        <v>549</v>
      </c>
      <c r="C741" t="s">
        <v>312</v>
      </c>
      <c r="D741" t="s">
        <v>17</v>
      </c>
      <c r="E741" t="s">
        <v>179</v>
      </c>
      <c r="F741">
        <v>1</v>
      </c>
      <c r="G741">
        <v>80000</v>
      </c>
      <c r="H741" t="s">
        <v>66</v>
      </c>
      <c r="I741" t="str">
        <f>_xlfn.XLOOKUP(E741,'Products Master'!A:A,'Products Master'!B:B)</f>
        <v>Electronics</v>
      </c>
      <c r="J741">
        <f>_xlfn.XLOOKUP(E741,'Products Master'!A:A,'Products Master'!C:C)</f>
        <v>65000</v>
      </c>
      <c r="K741" t="str">
        <f>_xlfn.XLOOKUP(E741,'Products Master'!A:A,'Products Master'!D:D)</f>
        <v>Samsung</v>
      </c>
      <c r="L741">
        <f t="shared" si="44"/>
        <v>80000</v>
      </c>
      <c r="M741">
        <f t="shared" si="45"/>
        <v>65000</v>
      </c>
      <c r="N741">
        <f t="shared" si="46"/>
        <v>15000</v>
      </c>
      <c r="O741" s="2">
        <f t="shared" si="47"/>
        <v>0.1875</v>
      </c>
    </row>
    <row r="742" spans="1:15">
      <c r="A742" t="s">
        <v>1192</v>
      </c>
      <c r="B742" t="s">
        <v>1193</v>
      </c>
      <c r="C742" t="s">
        <v>470</v>
      </c>
      <c r="D742" t="s">
        <v>29</v>
      </c>
      <c r="E742" t="s">
        <v>18</v>
      </c>
      <c r="F742">
        <v>5</v>
      </c>
      <c r="G742">
        <v>45000</v>
      </c>
      <c r="H742" t="s">
        <v>116</v>
      </c>
      <c r="I742" t="str">
        <f>_xlfn.XLOOKUP(E742,'Products Master'!A:A,'Products Master'!B:B)</f>
        <v>Electronics</v>
      </c>
      <c r="J742">
        <f>_xlfn.XLOOKUP(E742,'Products Master'!A:A,'Products Master'!C:C)</f>
        <v>35000</v>
      </c>
      <c r="K742" t="str">
        <f>_xlfn.XLOOKUP(E742,'Products Master'!A:A,'Products Master'!D:D)</f>
        <v>HP</v>
      </c>
      <c r="L742">
        <f t="shared" si="44"/>
        <v>225000</v>
      </c>
      <c r="M742">
        <f t="shared" si="45"/>
        <v>175000</v>
      </c>
      <c r="N742">
        <f t="shared" si="46"/>
        <v>50000</v>
      </c>
      <c r="O742" s="2">
        <f t="shared" si="47"/>
        <v>0.22222222222222221</v>
      </c>
    </row>
    <row r="743" spans="1:15">
      <c r="A743" t="s">
        <v>1194</v>
      </c>
      <c r="B743" t="s">
        <v>664</v>
      </c>
      <c r="C743" t="s">
        <v>233</v>
      </c>
      <c r="D743" t="s">
        <v>23</v>
      </c>
      <c r="E743" t="s">
        <v>40</v>
      </c>
      <c r="F743">
        <v>1</v>
      </c>
      <c r="G743">
        <v>60000</v>
      </c>
      <c r="H743" t="s">
        <v>41</v>
      </c>
      <c r="I743" t="str">
        <f>_xlfn.XLOOKUP(E743,'Products Master'!A:A,'Products Master'!B:B)</f>
        <v>Electronics</v>
      </c>
      <c r="J743">
        <f>_xlfn.XLOOKUP(E743,'Products Master'!A:A,'Products Master'!C:C)</f>
        <v>50000</v>
      </c>
      <c r="K743" t="str">
        <f>_xlfn.XLOOKUP(E743,'Products Master'!A:A,'Products Master'!D:D)</f>
        <v>LG</v>
      </c>
      <c r="L743">
        <f t="shared" si="44"/>
        <v>60000</v>
      </c>
      <c r="M743">
        <f t="shared" si="45"/>
        <v>50000</v>
      </c>
      <c r="N743">
        <f t="shared" si="46"/>
        <v>10000</v>
      </c>
      <c r="O743" s="2">
        <f t="shared" si="47"/>
        <v>0.16666666666666666</v>
      </c>
    </row>
    <row r="744" spans="1:15">
      <c r="A744" t="s">
        <v>1195</v>
      </c>
      <c r="B744" t="s">
        <v>1052</v>
      </c>
      <c r="C744" t="s">
        <v>156</v>
      </c>
      <c r="D744" t="s">
        <v>29</v>
      </c>
      <c r="E744" t="s">
        <v>124</v>
      </c>
      <c r="F744">
        <v>5</v>
      </c>
      <c r="G744">
        <v>18000</v>
      </c>
      <c r="H744" t="s">
        <v>19</v>
      </c>
      <c r="I744" t="str">
        <f>_xlfn.XLOOKUP(E744,'Products Master'!A:A,'Products Master'!B:B)</f>
        <v>Storage</v>
      </c>
      <c r="J744">
        <f>_xlfn.XLOOKUP(E744,'Products Master'!A:A,'Products Master'!C:C)</f>
        <v>12000</v>
      </c>
      <c r="K744" t="str">
        <f>_xlfn.XLOOKUP(E744,'Products Master'!A:A,'Products Master'!D:D)</f>
        <v>Kingston</v>
      </c>
      <c r="L744">
        <f t="shared" si="44"/>
        <v>90000</v>
      </c>
      <c r="M744">
        <f t="shared" si="45"/>
        <v>60000</v>
      </c>
      <c r="N744">
        <f t="shared" si="46"/>
        <v>30000</v>
      </c>
      <c r="O744" s="2">
        <f t="shared" si="47"/>
        <v>0.33333333333333331</v>
      </c>
    </row>
    <row r="745" spans="1:15">
      <c r="A745" t="s">
        <v>1196</v>
      </c>
      <c r="B745" t="s">
        <v>118</v>
      </c>
      <c r="C745" t="s">
        <v>502</v>
      </c>
      <c r="D745" t="s">
        <v>111</v>
      </c>
      <c r="E745" t="s">
        <v>40</v>
      </c>
      <c r="F745">
        <v>2</v>
      </c>
      <c r="G745">
        <v>60000</v>
      </c>
      <c r="H745" t="s">
        <v>95</v>
      </c>
      <c r="I745" t="str">
        <f>_xlfn.XLOOKUP(E745,'Products Master'!A:A,'Products Master'!B:B)</f>
        <v>Electronics</v>
      </c>
      <c r="J745">
        <f>_xlfn.XLOOKUP(E745,'Products Master'!A:A,'Products Master'!C:C)</f>
        <v>50000</v>
      </c>
      <c r="K745" t="str">
        <f>_xlfn.XLOOKUP(E745,'Products Master'!A:A,'Products Master'!D:D)</f>
        <v>LG</v>
      </c>
      <c r="L745">
        <f t="shared" si="44"/>
        <v>120000</v>
      </c>
      <c r="M745">
        <f t="shared" si="45"/>
        <v>100000</v>
      </c>
      <c r="N745">
        <f t="shared" si="46"/>
        <v>20000</v>
      </c>
      <c r="O745" s="2">
        <f t="shared" si="47"/>
        <v>0.16666666666666666</v>
      </c>
    </row>
    <row r="746" spans="1:15">
      <c r="A746" t="s">
        <v>1197</v>
      </c>
      <c r="B746" t="s">
        <v>1198</v>
      </c>
      <c r="C746" t="s">
        <v>39</v>
      </c>
      <c r="D746" t="s">
        <v>45</v>
      </c>
      <c r="E746" t="s">
        <v>24</v>
      </c>
      <c r="F746">
        <v>5</v>
      </c>
      <c r="G746">
        <v>2500</v>
      </c>
      <c r="H746" t="s">
        <v>13</v>
      </c>
      <c r="I746" t="str">
        <f>_xlfn.XLOOKUP(E746,'Products Master'!A:A,'Products Master'!B:B)</f>
        <v>Accessories</v>
      </c>
      <c r="J746">
        <f>_xlfn.XLOOKUP(E746,'Products Master'!A:A,'Products Master'!C:C)</f>
        <v>1500</v>
      </c>
      <c r="K746" t="str">
        <f>_xlfn.XLOOKUP(E746,'Products Master'!A:A,'Products Master'!D:D)</f>
        <v>Logitech</v>
      </c>
      <c r="L746">
        <f t="shared" si="44"/>
        <v>12500</v>
      </c>
      <c r="M746">
        <f t="shared" si="45"/>
        <v>7500</v>
      </c>
      <c r="N746">
        <f t="shared" si="46"/>
        <v>5000</v>
      </c>
      <c r="O746" s="2">
        <f t="shared" si="47"/>
        <v>0.4</v>
      </c>
    </row>
    <row r="747" spans="1:15">
      <c r="A747" t="s">
        <v>1199</v>
      </c>
      <c r="B747" t="s">
        <v>499</v>
      </c>
      <c r="C747" t="s">
        <v>263</v>
      </c>
      <c r="D747" t="s">
        <v>17</v>
      </c>
      <c r="E747" t="s">
        <v>179</v>
      </c>
      <c r="F747">
        <v>5</v>
      </c>
      <c r="G747">
        <v>80000</v>
      </c>
      <c r="H747" t="s">
        <v>116</v>
      </c>
      <c r="I747" t="str">
        <f>_xlfn.XLOOKUP(E747,'Products Master'!A:A,'Products Master'!B:B)</f>
        <v>Electronics</v>
      </c>
      <c r="J747">
        <f>_xlfn.XLOOKUP(E747,'Products Master'!A:A,'Products Master'!C:C)</f>
        <v>65000</v>
      </c>
      <c r="K747" t="str">
        <f>_xlfn.XLOOKUP(E747,'Products Master'!A:A,'Products Master'!D:D)</f>
        <v>Samsung</v>
      </c>
      <c r="L747">
        <f t="shared" si="44"/>
        <v>400000</v>
      </c>
      <c r="M747">
        <f t="shared" si="45"/>
        <v>325000</v>
      </c>
      <c r="N747">
        <f t="shared" si="46"/>
        <v>75000</v>
      </c>
      <c r="O747" s="2">
        <f t="shared" si="47"/>
        <v>0.1875</v>
      </c>
    </row>
    <row r="748" spans="1:15">
      <c r="A748" t="s">
        <v>1200</v>
      </c>
      <c r="B748" t="s">
        <v>453</v>
      </c>
      <c r="C748" t="s">
        <v>502</v>
      </c>
      <c r="D748" t="s">
        <v>115</v>
      </c>
      <c r="E748" t="s">
        <v>49</v>
      </c>
      <c r="F748">
        <v>4</v>
      </c>
      <c r="G748">
        <v>9500</v>
      </c>
      <c r="H748" t="s">
        <v>13</v>
      </c>
      <c r="I748" t="str">
        <f>_xlfn.XLOOKUP(E748,'Products Master'!A:A,'Products Master'!B:B)</f>
        <v>Accessories</v>
      </c>
      <c r="J748">
        <f>_xlfn.XLOOKUP(E748,'Products Master'!A:A,'Products Master'!C:C)</f>
        <v>7000</v>
      </c>
      <c r="K748" t="str">
        <f>_xlfn.XLOOKUP(E748,'Products Master'!A:A,'Products Master'!D:D)</f>
        <v>Logitech</v>
      </c>
      <c r="L748">
        <f t="shared" si="44"/>
        <v>38000</v>
      </c>
      <c r="M748">
        <f t="shared" si="45"/>
        <v>28000</v>
      </c>
      <c r="N748">
        <f t="shared" si="46"/>
        <v>10000</v>
      </c>
      <c r="O748" s="2">
        <f t="shared" si="47"/>
        <v>0.26315789473684209</v>
      </c>
    </row>
    <row r="749" spans="1:15">
      <c r="A749" t="s">
        <v>1201</v>
      </c>
      <c r="B749" t="s">
        <v>632</v>
      </c>
      <c r="C749" t="s">
        <v>327</v>
      </c>
      <c r="D749" t="s">
        <v>23</v>
      </c>
      <c r="E749" t="s">
        <v>12</v>
      </c>
      <c r="F749">
        <v>1</v>
      </c>
      <c r="G749">
        <v>150000</v>
      </c>
      <c r="H749" t="s">
        <v>66</v>
      </c>
      <c r="I749" t="str">
        <f>_xlfn.XLOOKUP(E749,'Products Master'!A:A,'Products Master'!B:B)</f>
        <v>Electronics</v>
      </c>
      <c r="J749">
        <f>_xlfn.XLOOKUP(E749,'Products Master'!A:A,'Products Master'!C:C)</f>
        <v>120000</v>
      </c>
      <c r="K749" t="str">
        <f>_xlfn.XLOOKUP(E749,'Products Master'!A:A,'Products Master'!D:D)</f>
        <v>Dell</v>
      </c>
      <c r="L749">
        <f t="shared" si="44"/>
        <v>150000</v>
      </c>
      <c r="M749">
        <f t="shared" si="45"/>
        <v>120000</v>
      </c>
      <c r="N749">
        <f t="shared" si="46"/>
        <v>30000</v>
      </c>
      <c r="O749" s="2">
        <f t="shared" si="47"/>
        <v>0.2</v>
      </c>
    </row>
    <row r="750" spans="1:15">
      <c r="A750" t="s">
        <v>1202</v>
      </c>
      <c r="B750" t="s">
        <v>243</v>
      </c>
      <c r="C750" t="s">
        <v>110</v>
      </c>
      <c r="D750" t="s">
        <v>34</v>
      </c>
      <c r="E750" t="s">
        <v>40</v>
      </c>
      <c r="F750">
        <v>4</v>
      </c>
      <c r="G750">
        <v>60000</v>
      </c>
      <c r="H750" t="s">
        <v>13</v>
      </c>
      <c r="I750" t="str">
        <f>_xlfn.XLOOKUP(E750,'Products Master'!A:A,'Products Master'!B:B)</f>
        <v>Electronics</v>
      </c>
      <c r="J750">
        <f>_xlfn.XLOOKUP(E750,'Products Master'!A:A,'Products Master'!C:C)</f>
        <v>50000</v>
      </c>
      <c r="K750" t="str">
        <f>_xlfn.XLOOKUP(E750,'Products Master'!A:A,'Products Master'!D:D)</f>
        <v>LG</v>
      </c>
      <c r="L750">
        <f t="shared" si="44"/>
        <v>240000</v>
      </c>
      <c r="M750">
        <f t="shared" si="45"/>
        <v>200000</v>
      </c>
      <c r="N750">
        <f t="shared" si="46"/>
        <v>40000</v>
      </c>
      <c r="O750" s="2">
        <f t="shared" si="47"/>
        <v>0.16666666666666666</v>
      </c>
    </row>
    <row r="751" spans="1:15">
      <c r="A751" t="s">
        <v>1203</v>
      </c>
      <c r="B751" t="s">
        <v>555</v>
      </c>
      <c r="C751" t="s">
        <v>48</v>
      </c>
      <c r="D751" t="s">
        <v>111</v>
      </c>
      <c r="E751" t="s">
        <v>12</v>
      </c>
      <c r="F751">
        <v>4</v>
      </c>
      <c r="G751">
        <v>150000</v>
      </c>
      <c r="H751" t="s">
        <v>95</v>
      </c>
      <c r="I751" t="str">
        <f>_xlfn.XLOOKUP(E751,'Products Master'!A:A,'Products Master'!B:B)</f>
        <v>Electronics</v>
      </c>
      <c r="J751">
        <f>_xlfn.XLOOKUP(E751,'Products Master'!A:A,'Products Master'!C:C)</f>
        <v>120000</v>
      </c>
      <c r="K751" t="str">
        <f>_xlfn.XLOOKUP(E751,'Products Master'!A:A,'Products Master'!D:D)</f>
        <v>Dell</v>
      </c>
      <c r="L751">
        <f t="shared" si="44"/>
        <v>600000</v>
      </c>
      <c r="M751">
        <f t="shared" si="45"/>
        <v>480000</v>
      </c>
      <c r="N751">
        <f t="shared" si="46"/>
        <v>120000</v>
      </c>
      <c r="O751" s="2">
        <f t="shared" si="47"/>
        <v>0.2</v>
      </c>
    </row>
    <row r="752" spans="1:15">
      <c r="A752" t="s">
        <v>1204</v>
      </c>
      <c r="B752" t="s">
        <v>590</v>
      </c>
      <c r="C752" t="s">
        <v>137</v>
      </c>
      <c r="D752" t="s">
        <v>29</v>
      </c>
      <c r="E752" t="s">
        <v>18</v>
      </c>
      <c r="F752">
        <v>4</v>
      </c>
      <c r="G752">
        <v>45000</v>
      </c>
      <c r="H752" t="s">
        <v>13</v>
      </c>
      <c r="I752" t="str">
        <f>_xlfn.XLOOKUP(E752,'Products Master'!A:A,'Products Master'!B:B)</f>
        <v>Electronics</v>
      </c>
      <c r="J752">
        <f>_xlfn.XLOOKUP(E752,'Products Master'!A:A,'Products Master'!C:C)</f>
        <v>35000</v>
      </c>
      <c r="K752" t="str">
        <f>_xlfn.XLOOKUP(E752,'Products Master'!A:A,'Products Master'!D:D)</f>
        <v>HP</v>
      </c>
      <c r="L752">
        <f t="shared" si="44"/>
        <v>180000</v>
      </c>
      <c r="M752">
        <f t="shared" si="45"/>
        <v>140000</v>
      </c>
      <c r="N752">
        <f t="shared" si="46"/>
        <v>40000</v>
      </c>
      <c r="O752" s="2">
        <f t="shared" si="47"/>
        <v>0.22222222222222221</v>
      </c>
    </row>
    <row r="753" spans="1:15">
      <c r="A753" t="s">
        <v>1205</v>
      </c>
      <c r="B753" t="s">
        <v>32</v>
      </c>
      <c r="C753" t="s">
        <v>156</v>
      </c>
      <c r="D753" t="s">
        <v>34</v>
      </c>
      <c r="E753" t="s">
        <v>99</v>
      </c>
      <c r="F753">
        <v>3</v>
      </c>
      <c r="G753">
        <v>5000</v>
      </c>
      <c r="H753" t="s">
        <v>95</v>
      </c>
      <c r="I753" t="str">
        <f>_xlfn.XLOOKUP(E753,'Products Master'!A:A,'Products Master'!B:B)</f>
        <v>Accessories</v>
      </c>
      <c r="J753">
        <f>_xlfn.XLOOKUP(E753,'Products Master'!A:A,'Products Master'!C:C)</f>
        <v>3500</v>
      </c>
      <c r="K753" t="str">
        <f>_xlfn.XLOOKUP(E753,'Products Master'!A:A,'Products Master'!D:D)</f>
        <v>Logitech</v>
      </c>
      <c r="L753">
        <f t="shared" si="44"/>
        <v>15000</v>
      </c>
      <c r="M753">
        <f t="shared" si="45"/>
        <v>10500</v>
      </c>
      <c r="N753">
        <f t="shared" si="46"/>
        <v>4500</v>
      </c>
      <c r="O753" s="2">
        <f t="shared" si="47"/>
        <v>0.3</v>
      </c>
    </row>
    <row r="754" spans="1:15">
      <c r="A754" t="s">
        <v>1206</v>
      </c>
      <c r="B754" t="s">
        <v>565</v>
      </c>
      <c r="C754" t="s">
        <v>104</v>
      </c>
      <c r="D754" t="s">
        <v>111</v>
      </c>
      <c r="E754" t="s">
        <v>99</v>
      </c>
      <c r="F754">
        <v>3</v>
      </c>
      <c r="G754">
        <v>5000</v>
      </c>
      <c r="H754" t="s">
        <v>36</v>
      </c>
      <c r="I754" t="str">
        <f>_xlfn.XLOOKUP(E754,'Products Master'!A:A,'Products Master'!B:B)</f>
        <v>Accessories</v>
      </c>
      <c r="J754">
        <f>_xlfn.XLOOKUP(E754,'Products Master'!A:A,'Products Master'!C:C)</f>
        <v>3500</v>
      </c>
      <c r="K754" t="str">
        <f>_xlfn.XLOOKUP(E754,'Products Master'!A:A,'Products Master'!D:D)</f>
        <v>Logitech</v>
      </c>
      <c r="L754">
        <f t="shared" si="44"/>
        <v>15000</v>
      </c>
      <c r="M754">
        <f t="shared" si="45"/>
        <v>10500</v>
      </c>
      <c r="N754">
        <f t="shared" si="46"/>
        <v>4500</v>
      </c>
      <c r="O754" s="2">
        <f t="shared" si="47"/>
        <v>0.3</v>
      </c>
    </row>
    <row r="755" spans="1:15">
      <c r="A755" t="s">
        <v>1207</v>
      </c>
      <c r="B755" t="s">
        <v>292</v>
      </c>
      <c r="C755" t="s">
        <v>162</v>
      </c>
      <c r="D755" t="s">
        <v>115</v>
      </c>
      <c r="E755" t="s">
        <v>124</v>
      </c>
      <c r="F755">
        <v>2</v>
      </c>
      <c r="G755">
        <v>18000</v>
      </c>
      <c r="H755" t="s">
        <v>13</v>
      </c>
      <c r="I755" t="str">
        <f>_xlfn.XLOOKUP(E755,'Products Master'!A:A,'Products Master'!B:B)</f>
        <v>Storage</v>
      </c>
      <c r="J755">
        <f>_xlfn.XLOOKUP(E755,'Products Master'!A:A,'Products Master'!C:C)</f>
        <v>12000</v>
      </c>
      <c r="K755" t="str">
        <f>_xlfn.XLOOKUP(E755,'Products Master'!A:A,'Products Master'!D:D)</f>
        <v>Kingston</v>
      </c>
      <c r="L755">
        <f t="shared" si="44"/>
        <v>36000</v>
      </c>
      <c r="M755">
        <f t="shared" si="45"/>
        <v>24000</v>
      </c>
      <c r="N755">
        <f t="shared" si="46"/>
        <v>12000</v>
      </c>
      <c r="O755" s="2">
        <f t="shared" si="47"/>
        <v>0.33333333333333331</v>
      </c>
    </row>
    <row r="756" spans="1:15">
      <c r="A756" t="s">
        <v>1208</v>
      </c>
      <c r="B756" t="s">
        <v>59</v>
      </c>
      <c r="C756" t="s">
        <v>299</v>
      </c>
      <c r="D756" t="s">
        <v>45</v>
      </c>
      <c r="E756" t="s">
        <v>99</v>
      </c>
      <c r="F756">
        <v>5</v>
      </c>
      <c r="G756">
        <v>5000</v>
      </c>
      <c r="H756" t="s">
        <v>36</v>
      </c>
      <c r="I756" t="str">
        <f>_xlfn.XLOOKUP(E756,'Products Master'!A:A,'Products Master'!B:B)</f>
        <v>Accessories</v>
      </c>
      <c r="J756">
        <f>_xlfn.XLOOKUP(E756,'Products Master'!A:A,'Products Master'!C:C)</f>
        <v>3500</v>
      </c>
      <c r="K756" t="str">
        <f>_xlfn.XLOOKUP(E756,'Products Master'!A:A,'Products Master'!D:D)</f>
        <v>Logitech</v>
      </c>
      <c r="L756">
        <f t="shared" si="44"/>
        <v>25000</v>
      </c>
      <c r="M756">
        <f t="shared" si="45"/>
        <v>17500</v>
      </c>
      <c r="N756">
        <f t="shared" si="46"/>
        <v>7500</v>
      </c>
      <c r="O756" s="2">
        <f t="shared" si="47"/>
        <v>0.3</v>
      </c>
    </row>
    <row r="757" spans="1:15">
      <c r="A757" t="s">
        <v>1209</v>
      </c>
      <c r="B757" t="s">
        <v>27</v>
      </c>
      <c r="C757" t="s">
        <v>48</v>
      </c>
      <c r="D757" t="s">
        <v>29</v>
      </c>
      <c r="E757" t="s">
        <v>35</v>
      </c>
      <c r="F757">
        <v>5</v>
      </c>
      <c r="G757">
        <v>2000</v>
      </c>
      <c r="H757" t="s">
        <v>36</v>
      </c>
      <c r="I757" t="str">
        <f>_xlfn.XLOOKUP(E757,'Products Master'!A:A,'Products Master'!B:B)</f>
        <v>Storage</v>
      </c>
      <c r="J757">
        <f>_xlfn.XLOOKUP(E757,'Products Master'!A:A,'Products Master'!C:C)</f>
        <v>1200</v>
      </c>
      <c r="K757" t="str">
        <f>_xlfn.XLOOKUP(E757,'Products Master'!A:A,'Products Master'!D:D)</f>
        <v>SanDisk</v>
      </c>
      <c r="L757">
        <f t="shared" si="44"/>
        <v>10000</v>
      </c>
      <c r="M757">
        <f t="shared" si="45"/>
        <v>6000</v>
      </c>
      <c r="N757">
        <f t="shared" si="46"/>
        <v>4000</v>
      </c>
      <c r="O757" s="2">
        <f t="shared" si="47"/>
        <v>0.4</v>
      </c>
    </row>
    <row r="758" spans="1:15">
      <c r="A758" t="s">
        <v>1210</v>
      </c>
      <c r="B758" t="s">
        <v>813</v>
      </c>
      <c r="C758" t="s">
        <v>91</v>
      </c>
      <c r="D758" t="s">
        <v>29</v>
      </c>
      <c r="E758" t="s">
        <v>12</v>
      </c>
      <c r="F758">
        <v>5</v>
      </c>
      <c r="G758">
        <v>150000</v>
      </c>
      <c r="H758" t="s">
        <v>25</v>
      </c>
      <c r="I758" t="str">
        <f>_xlfn.XLOOKUP(E758,'Products Master'!A:A,'Products Master'!B:B)</f>
        <v>Electronics</v>
      </c>
      <c r="J758">
        <f>_xlfn.XLOOKUP(E758,'Products Master'!A:A,'Products Master'!C:C)</f>
        <v>120000</v>
      </c>
      <c r="K758" t="str">
        <f>_xlfn.XLOOKUP(E758,'Products Master'!A:A,'Products Master'!D:D)</f>
        <v>Dell</v>
      </c>
      <c r="L758">
        <f t="shared" si="44"/>
        <v>750000</v>
      </c>
      <c r="M758">
        <f t="shared" si="45"/>
        <v>600000</v>
      </c>
      <c r="N758">
        <f t="shared" si="46"/>
        <v>150000</v>
      </c>
      <c r="O758" s="2">
        <f t="shared" si="47"/>
        <v>0.2</v>
      </c>
    </row>
    <row r="759" spans="1:15">
      <c r="A759" t="s">
        <v>1211</v>
      </c>
      <c r="B759" t="s">
        <v>1198</v>
      </c>
      <c r="C759" t="s">
        <v>263</v>
      </c>
      <c r="D759" t="s">
        <v>23</v>
      </c>
      <c r="E759" t="s">
        <v>40</v>
      </c>
      <c r="F759">
        <v>5</v>
      </c>
      <c r="G759">
        <v>60000</v>
      </c>
      <c r="H759" t="s">
        <v>25</v>
      </c>
      <c r="I759" t="str">
        <f>_xlfn.XLOOKUP(E759,'Products Master'!A:A,'Products Master'!B:B)</f>
        <v>Electronics</v>
      </c>
      <c r="J759">
        <f>_xlfn.XLOOKUP(E759,'Products Master'!A:A,'Products Master'!C:C)</f>
        <v>50000</v>
      </c>
      <c r="K759" t="str">
        <f>_xlfn.XLOOKUP(E759,'Products Master'!A:A,'Products Master'!D:D)</f>
        <v>LG</v>
      </c>
      <c r="L759">
        <f t="shared" si="44"/>
        <v>300000</v>
      </c>
      <c r="M759">
        <f t="shared" si="45"/>
        <v>250000</v>
      </c>
      <c r="N759">
        <f t="shared" si="46"/>
        <v>50000</v>
      </c>
      <c r="O759" s="2">
        <f t="shared" si="47"/>
        <v>0.16666666666666666</v>
      </c>
    </row>
    <row r="760" spans="1:15">
      <c r="A760" t="s">
        <v>1212</v>
      </c>
      <c r="B760" t="s">
        <v>229</v>
      </c>
      <c r="C760" t="s">
        <v>114</v>
      </c>
      <c r="D760" t="s">
        <v>34</v>
      </c>
      <c r="E760" t="s">
        <v>179</v>
      </c>
      <c r="F760">
        <v>3</v>
      </c>
      <c r="G760">
        <v>80000</v>
      </c>
      <c r="H760" t="s">
        <v>50</v>
      </c>
      <c r="I760" t="str">
        <f>_xlfn.XLOOKUP(E760,'Products Master'!A:A,'Products Master'!B:B)</f>
        <v>Electronics</v>
      </c>
      <c r="J760">
        <f>_xlfn.XLOOKUP(E760,'Products Master'!A:A,'Products Master'!C:C)</f>
        <v>65000</v>
      </c>
      <c r="K760" t="str">
        <f>_xlfn.XLOOKUP(E760,'Products Master'!A:A,'Products Master'!D:D)</f>
        <v>Samsung</v>
      </c>
      <c r="L760">
        <f t="shared" si="44"/>
        <v>240000</v>
      </c>
      <c r="M760">
        <f t="shared" si="45"/>
        <v>195000</v>
      </c>
      <c r="N760">
        <f t="shared" si="46"/>
        <v>45000</v>
      </c>
      <c r="O760" s="2">
        <f t="shared" si="47"/>
        <v>0.1875</v>
      </c>
    </row>
    <row r="761" spans="1:15">
      <c r="A761" t="s">
        <v>1213</v>
      </c>
      <c r="B761" t="s">
        <v>1214</v>
      </c>
      <c r="C761" t="s">
        <v>288</v>
      </c>
      <c r="D761" t="s">
        <v>17</v>
      </c>
      <c r="E761" t="s">
        <v>54</v>
      </c>
      <c r="F761">
        <v>1</v>
      </c>
      <c r="G761">
        <v>7000</v>
      </c>
      <c r="H761" t="s">
        <v>66</v>
      </c>
      <c r="I761" t="str">
        <f>_xlfn.XLOOKUP(E761,'Products Master'!A:A,'Products Master'!B:B)</f>
        <v>Accessories</v>
      </c>
      <c r="J761">
        <f>_xlfn.XLOOKUP(E761,'Products Master'!A:A,'Products Master'!C:C)</f>
        <v>5000</v>
      </c>
      <c r="K761" t="str">
        <f>_xlfn.XLOOKUP(E761,'Products Master'!A:A,'Products Master'!D:D)</f>
        <v>Sony</v>
      </c>
      <c r="L761">
        <f t="shared" si="44"/>
        <v>7000</v>
      </c>
      <c r="M761">
        <f t="shared" si="45"/>
        <v>5000</v>
      </c>
      <c r="N761">
        <f t="shared" si="46"/>
        <v>2000</v>
      </c>
      <c r="O761" s="2">
        <f t="shared" si="47"/>
        <v>0.2857142857142857</v>
      </c>
    </row>
    <row r="762" spans="1:15">
      <c r="A762" t="s">
        <v>1215</v>
      </c>
      <c r="B762" t="s">
        <v>1216</v>
      </c>
      <c r="C762" t="s">
        <v>167</v>
      </c>
      <c r="D762" t="s">
        <v>45</v>
      </c>
      <c r="E762" t="s">
        <v>179</v>
      </c>
      <c r="F762">
        <v>2</v>
      </c>
      <c r="G762">
        <v>80000</v>
      </c>
      <c r="H762" t="s">
        <v>66</v>
      </c>
      <c r="I762" t="str">
        <f>_xlfn.XLOOKUP(E762,'Products Master'!A:A,'Products Master'!B:B)</f>
        <v>Electronics</v>
      </c>
      <c r="J762">
        <f>_xlfn.XLOOKUP(E762,'Products Master'!A:A,'Products Master'!C:C)</f>
        <v>65000</v>
      </c>
      <c r="K762" t="str">
        <f>_xlfn.XLOOKUP(E762,'Products Master'!A:A,'Products Master'!D:D)</f>
        <v>Samsung</v>
      </c>
      <c r="L762">
        <f t="shared" si="44"/>
        <v>160000</v>
      </c>
      <c r="M762">
        <f t="shared" si="45"/>
        <v>130000</v>
      </c>
      <c r="N762">
        <f t="shared" si="46"/>
        <v>30000</v>
      </c>
      <c r="O762" s="2">
        <f t="shared" si="47"/>
        <v>0.1875</v>
      </c>
    </row>
    <row r="763" spans="1:15">
      <c r="A763" t="s">
        <v>1217</v>
      </c>
      <c r="B763" t="s">
        <v>461</v>
      </c>
      <c r="C763" t="s">
        <v>33</v>
      </c>
      <c r="D763" t="s">
        <v>29</v>
      </c>
      <c r="E763" t="s">
        <v>179</v>
      </c>
      <c r="F763">
        <v>1</v>
      </c>
      <c r="G763">
        <v>80000</v>
      </c>
      <c r="H763" t="s">
        <v>41</v>
      </c>
      <c r="I763" t="str">
        <f>_xlfn.XLOOKUP(E763,'Products Master'!A:A,'Products Master'!B:B)</f>
        <v>Electronics</v>
      </c>
      <c r="J763">
        <f>_xlfn.XLOOKUP(E763,'Products Master'!A:A,'Products Master'!C:C)</f>
        <v>65000</v>
      </c>
      <c r="K763" t="str">
        <f>_xlfn.XLOOKUP(E763,'Products Master'!A:A,'Products Master'!D:D)</f>
        <v>Samsung</v>
      </c>
      <c r="L763">
        <f t="shared" si="44"/>
        <v>80000</v>
      </c>
      <c r="M763">
        <f t="shared" si="45"/>
        <v>65000</v>
      </c>
      <c r="N763">
        <f t="shared" si="46"/>
        <v>15000</v>
      </c>
      <c r="O763" s="2">
        <f t="shared" si="47"/>
        <v>0.1875</v>
      </c>
    </row>
    <row r="764" spans="1:15">
      <c r="A764" t="s">
        <v>1218</v>
      </c>
      <c r="B764" t="s">
        <v>411</v>
      </c>
      <c r="C764" t="s">
        <v>162</v>
      </c>
      <c r="D764" t="s">
        <v>45</v>
      </c>
      <c r="E764" t="s">
        <v>35</v>
      </c>
      <c r="F764">
        <v>4</v>
      </c>
      <c r="G764">
        <v>2000</v>
      </c>
      <c r="H764" t="s">
        <v>19</v>
      </c>
      <c r="I764" t="str">
        <f>_xlfn.XLOOKUP(E764,'Products Master'!A:A,'Products Master'!B:B)</f>
        <v>Storage</v>
      </c>
      <c r="J764">
        <f>_xlfn.XLOOKUP(E764,'Products Master'!A:A,'Products Master'!C:C)</f>
        <v>1200</v>
      </c>
      <c r="K764" t="str">
        <f>_xlfn.XLOOKUP(E764,'Products Master'!A:A,'Products Master'!D:D)</f>
        <v>SanDisk</v>
      </c>
      <c r="L764">
        <f t="shared" si="44"/>
        <v>8000</v>
      </c>
      <c r="M764">
        <f t="shared" si="45"/>
        <v>4800</v>
      </c>
      <c r="N764">
        <f t="shared" si="46"/>
        <v>3200</v>
      </c>
      <c r="O764" s="2">
        <f t="shared" si="47"/>
        <v>0.4</v>
      </c>
    </row>
    <row r="765" spans="1:15">
      <c r="A765" t="s">
        <v>1219</v>
      </c>
      <c r="B765" t="s">
        <v>490</v>
      </c>
      <c r="C765" t="s">
        <v>101</v>
      </c>
      <c r="D765" t="s">
        <v>115</v>
      </c>
      <c r="E765" t="s">
        <v>18</v>
      </c>
      <c r="F765">
        <v>5</v>
      </c>
      <c r="G765">
        <v>45000</v>
      </c>
      <c r="H765" t="s">
        <v>30</v>
      </c>
      <c r="I765" t="str">
        <f>_xlfn.XLOOKUP(E765,'Products Master'!A:A,'Products Master'!B:B)</f>
        <v>Electronics</v>
      </c>
      <c r="J765">
        <f>_xlfn.XLOOKUP(E765,'Products Master'!A:A,'Products Master'!C:C)</f>
        <v>35000</v>
      </c>
      <c r="K765" t="str">
        <f>_xlfn.XLOOKUP(E765,'Products Master'!A:A,'Products Master'!D:D)</f>
        <v>HP</v>
      </c>
      <c r="L765">
        <f t="shared" si="44"/>
        <v>225000</v>
      </c>
      <c r="M765">
        <f t="shared" si="45"/>
        <v>175000</v>
      </c>
      <c r="N765">
        <f t="shared" si="46"/>
        <v>50000</v>
      </c>
      <c r="O765" s="2">
        <f t="shared" si="47"/>
        <v>0.22222222222222221</v>
      </c>
    </row>
    <row r="766" spans="1:15">
      <c r="A766" t="s">
        <v>1220</v>
      </c>
      <c r="B766" t="s">
        <v>43</v>
      </c>
      <c r="C766" t="s">
        <v>186</v>
      </c>
      <c r="D766" t="s">
        <v>11</v>
      </c>
      <c r="E766" t="s">
        <v>179</v>
      </c>
      <c r="F766">
        <v>5</v>
      </c>
      <c r="G766">
        <v>80000</v>
      </c>
      <c r="H766" t="s">
        <v>95</v>
      </c>
      <c r="I766" t="str">
        <f>_xlfn.XLOOKUP(E766,'Products Master'!A:A,'Products Master'!B:B)</f>
        <v>Electronics</v>
      </c>
      <c r="J766">
        <f>_xlfn.XLOOKUP(E766,'Products Master'!A:A,'Products Master'!C:C)</f>
        <v>65000</v>
      </c>
      <c r="K766" t="str">
        <f>_xlfn.XLOOKUP(E766,'Products Master'!A:A,'Products Master'!D:D)</f>
        <v>Samsung</v>
      </c>
      <c r="L766">
        <f t="shared" si="44"/>
        <v>400000</v>
      </c>
      <c r="M766">
        <f t="shared" si="45"/>
        <v>325000</v>
      </c>
      <c r="N766">
        <f t="shared" si="46"/>
        <v>75000</v>
      </c>
      <c r="O766" s="2">
        <f t="shared" si="47"/>
        <v>0.1875</v>
      </c>
    </row>
    <row r="767" spans="1:15">
      <c r="A767" t="s">
        <v>1221</v>
      </c>
      <c r="B767" t="s">
        <v>38</v>
      </c>
      <c r="C767" t="s">
        <v>614</v>
      </c>
      <c r="D767" t="s">
        <v>111</v>
      </c>
      <c r="E767" t="s">
        <v>124</v>
      </c>
      <c r="F767">
        <v>4</v>
      </c>
      <c r="G767">
        <v>18000</v>
      </c>
      <c r="H767" t="s">
        <v>116</v>
      </c>
      <c r="I767" t="str">
        <f>_xlfn.XLOOKUP(E767,'Products Master'!A:A,'Products Master'!B:B)</f>
        <v>Storage</v>
      </c>
      <c r="J767">
        <f>_xlfn.XLOOKUP(E767,'Products Master'!A:A,'Products Master'!C:C)</f>
        <v>12000</v>
      </c>
      <c r="K767" t="str">
        <f>_xlfn.XLOOKUP(E767,'Products Master'!A:A,'Products Master'!D:D)</f>
        <v>Kingston</v>
      </c>
      <c r="L767">
        <f t="shared" si="44"/>
        <v>72000</v>
      </c>
      <c r="M767">
        <f t="shared" si="45"/>
        <v>48000</v>
      </c>
      <c r="N767">
        <f t="shared" si="46"/>
        <v>24000</v>
      </c>
      <c r="O767" s="2">
        <f t="shared" si="47"/>
        <v>0.33333333333333331</v>
      </c>
    </row>
    <row r="768" spans="1:15">
      <c r="A768" t="s">
        <v>1222</v>
      </c>
      <c r="B768" t="s">
        <v>776</v>
      </c>
      <c r="C768" t="s">
        <v>382</v>
      </c>
      <c r="D768" t="s">
        <v>11</v>
      </c>
      <c r="E768" t="s">
        <v>35</v>
      </c>
      <c r="F768">
        <v>2</v>
      </c>
      <c r="G768">
        <v>2000</v>
      </c>
      <c r="H768" t="s">
        <v>95</v>
      </c>
      <c r="I768" t="str">
        <f>_xlfn.XLOOKUP(E768,'Products Master'!A:A,'Products Master'!B:B)</f>
        <v>Storage</v>
      </c>
      <c r="J768">
        <f>_xlfn.XLOOKUP(E768,'Products Master'!A:A,'Products Master'!C:C)</f>
        <v>1200</v>
      </c>
      <c r="K768" t="str">
        <f>_xlfn.XLOOKUP(E768,'Products Master'!A:A,'Products Master'!D:D)</f>
        <v>SanDisk</v>
      </c>
      <c r="L768">
        <f t="shared" si="44"/>
        <v>4000</v>
      </c>
      <c r="M768">
        <f t="shared" si="45"/>
        <v>2400</v>
      </c>
      <c r="N768">
        <f t="shared" si="46"/>
        <v>1600</v>
      </c>
      <c r="O768" s="2">
        <f t="shared" si="47"/>
        <v>0.4</v>
      </c>
    </row>
    <row r="769" spans="1:15">
      <c r="A769" t="s">
        <v>1223</v>
      </c>
      <c r="B769" t="s">
        <v>1224</v>
      </c>
      <c r="C769" t="s">
        <v>842</v>
      </c>
      <c r="D769" t="s">
        <v>17</v>
      </c>
      <c r="E769" t="s">
        <v>12</v>
      </c>
      <c r="F769">
        <v>5</v>
      </c>
      <c r="G769">
        <v>150000</v>
      </c>
      <c r="H769" t="s">
        <v>25</v>
      </c>
      <c r="I769" t="str">
        <f>_xlfn.XLOOKUP(E769,'Products Master'!A:A,'Products Master'!B:B)</f>
        <v>Electronics</v>
      </c>
      <c r="J769">
        <f>_xlfn.XLOOKUP(E769,'Products Master'!A:A,'Products Master'!C:C)</f>
        <v>120000</v>
      </c>
      <c r="K769" t="str">
        <f>_xlfn.XLOOKUP(E769,'Products Master'!A:A,'Products Master'!D:D)</f>
        <v>Dell</v>
      </c>
      <c r="L769">
        <f t="shared" si="44"/>
        <v>750000</v>
      </c>
      <c r="M769">
        <f t="shared" si="45"/>
        <v>600000</v>
      </c>
      <c r="N769">
        <f t="shared" si="46"/>
        <v>150000</v>
      </c>
      <c r="O769" s="2">
        <f t="shared" si="47"/>
        <v>0.2</v>
      </c>
    </row>
    <row r="770" spans="1:15">
      <c r="A770" t="s">
        <v>1225</v>
      </c>
      <c r="B770" t="s">
        <v>573</v>
      </c>
      <c r="C770" t="s">
        <v>226</v>
      </c>
      <c r="D770" t="s">
        <v>34</v>
      </c>
      <c r="E770" t="s">
        <v>124</v>
      </c>
      <c r="F770">
        <v>5</v>
      </c>
      <c r="G770">
        <v>18000</v>
      </c>
      <c r="H770" t="s">
        <v>66</v>
      </c>
      <c r="I770" t="str">
        <f>_xlfn.XLOOKUP(E770,'Products Master'!A:A,'Products Master'!B:B)</f>
        <v>Storage</v>
      </c>
      <c r="J770">
        <f>_xlfn.XLOOKUP(E770,'Products Master'!A:A,'Products Master'!C:C)</f>
        <v>12000</v>
      </c>
      <c r="K770" t="str">
        <f>_xlfn.XLOOKUP(E770,'Products Master'!A:A,'Products Master'!D:D)</f>
        <v>Kingston</v>
      </c>
      <c r="L770">
        <f t="shared" si="44"/>
        <v>90000</v>
      </c>
      <c r="M770">
        <f t="shared" si="45"/>
        <v>60000</v>
      </c>
      <c r="N770">
        <f t="shared" si="46"/>
        <v>30000</v>
      </c>
      <c r="O770" s="2">
        <f t="shared" si="47"/>
        <v>0.33333333333333331</v>
      </c>
    </row>
    <row r="771" spans="1:15">
      <c r="A771" t="s">
        <v>1226</v>
      </c>
      <c r="B771" t="s">
        <v>541</v>
      </c>
      <c r="C771" t="s">
        <v>576</v>
      </c>
      <c r="D771" t="s">
        <v>23</v>
      </c>
      <c r="E771" t="s">
        <v>35</v>
      </c>
      <c r="F771">
        <v>2</v>
      </c>
      <c r="G771">
        <v>2000</v>
      </c>
      <c r="H771" t="s">
        <v>36</v>
      </c>
      <c r="I771" t="str">
        <f>_xlfn.XLOOKUP(E771,'Products Master'!A:A,'Products Master'!B:B)</f>
        <v>Storage</v>
      </c>
      <c r="J771">
        <f>_xlfn.XLOOKUP(E771,'Products Master'!A:A,'Products Master'!C:C)</f>
        <v>1200</v>
      </c>
      <c r="K771" t="str">
        <f>_xlfn.XLOOKUP(E771,'Products Master'!A:A,'Products Master'!D:D)</f>
        <v>SanDisk</v>
      </c>
      <c r="L771">
        <f t="shared" ref="L771:L834" si="48">F771*G771</f>
        <v>4000</v>
      </c>
      <c r="M771">
        <f t="shared" ref="M771:M834" si="49">F771*J771</f>
        <v>2400</v>
      </c>
      <c r="N771">
        <f t="shared" ref="N771:N834" si="50">L771-M771</f>
        <v>1600</v>
      </c>
      <c r="O771" s="2">
        <f t="shared" ref="O771:O834" si="51">N771/L771</f>
        <v>0.4</v>
      </c>
    </row>
    <row r="772" spans="1:15">
      <c r="A772" t="s">
        <v>1227</v>
      </c>
      <c r="B772" t="s">
        <v>307</v>
      </c>
      <c r="C772" t="s">
        <v>152</v>
      </c>
      <c r="D772" t="s">
        <v>45</v>
      </c>
      <c r="E772" t="s">
        <v>40</v>
      </c>
      <c r="F772">
        <v>3</v>
      </c>
      <c r="G772">
        <v>60000</v>
      </c>
      <c r="H772" t="s">
        <v>25</v>
      </c>
      <c r="I772" t="str">
        <f>_xlfn.XLOOKUP(E772,'Products Master'!A:A,'Products Master'!B:B)</f>
        <v>Electronics</v>
      </c>
      <c r="J772">
        <f>_xlfn.XLOOKUP(E772,'Products Master'!A:A,'Products Master'!C:C)</f>
        <v>50000</v>
      </c>
      <c r="K772" t="str">
        <f>_xlfn.XLOOKUP(E772,'Products Master'!A:A,'Products Master'!D:D)</f>
        <v>LG</v>
      </c>
      <c r="L772">
        <f t="shared" si="48"/>
        <v>180000</v>
      </c>
      <c r="M772">
        <f t="shared" si="49"/>
        <v>150000</v>
      </c>
      <c r="N772">
        <f t="shared" si="50"/>
        <v>30000</v>
      </c>
      <c r="O772" s="2">
        <f t="shared" si="51"/>
        <v>0.16666666666666666</v>
      </c>
    </row>
    <row r="773" spans="1:15">
      <c r="A773" t="s">
        <v>1228</v>
      </c>
      <c r="B773" t="s">
        <v>916</v>
      </c>
      <c r="C773" t="s">
        <v>543</v>
      </c>
      <c r="D773" t="s">
        <v>115</v>
      </c>
      <c r="E773" t="s">
        <v>49</v>
      </c>
      <c r="F773">
        <v>4</v>
      </c>
      <c r="G773">
        <v>9500</v>
      </c>
      <c r="H773" t="s">
        <v>13</v>
      </c>
      <c r="I773" t="str">
        <f>_xlfn.XLOOKUP(E773,'Products Master'!A:A,'Products Master'!B:B)</f>
        <v>Accessories</v>
      </c>
      <c r="J773">
        <f>_xlfn.XLOOKUP(E773,'Products Master'!A:A,'Products Master'!C:C)</f>
        <v>7000</v>
      </c>
      <c r="K773" t="str">
        <f>_xlfn.XLOOKUP(E773,'Products Master'!A:A,'Products Master'!D:D)</f>
        <v>Logitech</v>
      </c>
      <c r="L773">
        <f t="shared" si="48"/>
        <v>38000</v>
      </c>
      <c r="M773">
        <f t="shared" si="49"/>
        <v>28000</v>
      </c>
      <c r="N773">
        <f t="shared" si="50"/>
        <v>10000</v>
      </c>
      <c r="O773" s="2">
        <f t="shared" si="51"/>
        <v>0.26315789473684209</v>
      </c>
    </row>
    <row r="774" spans="1:15">
      <c r="A774" t="s">
        <v>1229</v>
      </c>
      <c r="B774" t="s">
        <v>386</v>
      </c>
      <c r="C774" t="s">
        <v>212</v>
      </c>
      <c r="D774" t="s">
        <v>29</v>
      </c>
      <c r="E774" t="s">
        <v>24</v>
      </c>
      <c r="F774">
        <v>2</v>
      </c>
      <c r="G774">
        <v>2500</v>
      </c>
      <c r="H774" t="s">
        <v>41</v>
      </c>
      <c r="I774" t="str">
        <f>_xlfn.XLOOKUP(E774,'Products Master'!A:A,'Products Master'!B:B)</f>
        <v>Accessories</v>
      </c>
      <c r="J774">
        <f>_xlfn.XLOOKUP(E774,'Products Master'!A:A,'Products Master'!C:C)</f>
        <v>1500</v>
      </c>
      <c r="K774" t="str">
        <f>_xlfn.XLOOKUP(E774,'Products Master'!A:A,'Products Master'!D:D)</f>
        <v>Logitech</v>
      </c>
      <c r="L774">
        <f t="shared" si="48"/>
        <v>5000</v>
      </c>
      <c r="M774">
        <f t="shared" si="49"/>
        <v>3000</v>
      </c>
      <c r="N774">
        <f t="shared" si="50"/>
        <v>2000</v>
      </c>
      <c r="O774" s="2">
        <f t="shared" si="51"/>
        <v>0.4</v>
      </c>
    </row>
    <row r="775" spans="1:15">
      <c r="A775" t="s">
        <v>1230</v>
      </c>
      <c r="B775" t="s">
        <v>486</v>
      </c>
      <c r="C775" t="s">
        <v>742</v>
      </c>
      <c r="D775" t="s">
        <v>45</v>
      </c>
      <c r="E775" t="s">
        <v>124</v>
      </c>
      <c r="F775">
        <v>5</v>
      </c>
      <c r="G775">
        <v>18000</v>
      </c>
      <c r="H775" t="s">
        <v>116</v>
      </c>
      <c r="I775" t="str">
        <f>_xlfn.XLOOKUP(E775,'Products Master'!A:A,'Products Master'!B:B)</f>
        <v>Storage</v>
      </c>
      <c r="J775">
        <f>_xlfn.XLOOKUP(E775,'Products Master'!A:A,'Products Master'!C:C)</f>
        <v>12000</v>
      </c>
      <c r="K775" t="str">
        <f>_xlfn.XLOOKUP(E775,'Products Master'!A:A,'Products Master'!D:D)</f>
        <v>Kingston</v>
      </c>
      <c r="L775">
        <f t="shared" si="48"/>
        <v>90000</v>
      </c>
      <c r="M775">
        <f t="shared" si="49"/>
        <v>60000</v>
      </c>
      <c r="N775">
        <f t="shared" si="50"/>
        <v>30000</v>
      </c>
      <c r="O775" s="2">
        <f t="shared" si="51"/>
        <v>0.33333333333333331</v>
      </c>
    </row>
    <row r="776" spans="1:15">
      <c r="A776" t="s">
        <v>1231</v>
      </c>
      <c r="B776" t="s">
        <v>501</v>
      </c>
      <c r="C776" t="s">
        <v>299</v>
      </c>
      <c r="D776" t="s">
        <v>29</v>
      </c>
      <c r="E776" t="s">
        <v>12</v>
      </c>
      <c r="F776">
        <v>2</v>
      </c>
      <c r="G776">
        <v>150000</v>
      </c>
      <c r="H776" t="s">
        <v>19</v>
      </c>
      <c r="I776" t="str">
        <f>_xlfn.XLOOKUP(E776,'Products Master'!A:A,'Products Master'!B:B)</f>
        <v>Electronics</v>
      </c>
      <c r="J776">
        <f>_xlfn.XLOOKUP(E776,'Products Master'!A:A,'Products Master'!C:C)</f>
        <v>120000</v>
      </c>
      <c r="K776" t="str">
        <f>_xlfn.XLOOKUP(E776,'Products Master'!A:A,'Products Master'!D:D)</f>
        <v>Dell</v>
      </c>
      <c r="L776">
        <f t="shared" si="48"/>
        <v>300000</v>
      </c>
      <c r="M776">
        <f t="shared" si="49"/>
        <v>240000</v>
      </c>
      <c r="N776">
        <f t="shared" si="50"/>
        <v>60000</v>
      </c>
      <c r="O776" s="2">
        <f t="shared" si="51"/>
        <v>0.2</v>
      </c>
    </row>
    <row r="777" spans="1:15">
      <c r="A777" t="s">
        <v>1232</v>
      </c>
      <c r="B777" t="s">
        <v>1198</v>
      </c>
      <c r="C777" t="s">
        <v>48</v>
      </c>
      <c r="D777" t="s">
        <v>23</v>
      </c>
      <c r="E777" t="s">
        <v>18</v>
      </c>
      <c r="F777">
        <v>2</v>
      </c>
      <c r="G777">
        <v>45000</v>
      </c>
      <c r="H777" t="s">
        <v>25</v>
      </c>
      <c r="I777" t="str">
        <f>_xlfn.XLOOKUP(E777,'Products Master'!A:A,'Products Master'!B:B)</f>
        <v>Electronics</v>
      </c>
      <c r="J777">
        <f>_xlfn.XLOOKUP(E777,'Products Master'!A:A,'Products Master'!C:C)</f>
        <v>35000</v>
      </c>
      <c r="K777" t="str">
        <f>_xlfn.XLOOKUP(E777,'Products Master'!A:A,'Products Master'!D:D)</f>
        <v>HP</v>
      </c>
      <c r="L777">
        <f t="shared" si="48"/>
        <v>90000</v>
      </c>
      <c r="M777">
        <f t="shared" si="49"/>
        <v>70000</v>
      </c>
      <c r="N777">
        <f t="shared" si="50"/>
        <v>20000</v>
      </c>
      <c r="O777" s="2">
        <f t="shared" si="51"/>
        <v>0.22222222222222221</v>
      </c>
    </row>
    <row r="778" spans="1:15">
      <c r="A778" t="s">
        <v>1233</v>
      </c>
      <c r="B778" t="s">
        <v>273</v>
      </c>
      <c r="C778" t="s">
        <v>353</v>
      </c>
      <c r="D778" t="s">
        <v>34</v>
      </c>
      <c r="E778" t="s">
        <v>35</v>
      </c>
      <c r="F778">
        <v>3</v>
      </c>
      <c r="G778">
        <v>2000</v>
      </c>
      <c r="H778" t="s">
        <v>116</v>
      </c>
      <c r="I778" t="str">
        <f>_xlfn.XLOOKUP(E778,'Products Master'!A:A,'Products Master'!B:B)</f>
        <v>Storage</v>
      </c>
      <c r="J778">
        <f>_xlfn.XLOOKUP(E778,'Products Master'!A:A,'Products Master'!C:C)</f>
        <v>1200</v>
      </c>
      <c r="K778" t="str">
        <f>_xlfn.XLOOKUP(E778,'Products Master'!A:A,'Products Master'!D:D)</f>
        <v>SanDisk</v>
      </c>
      <c r="L778">
        <f t="shared" si="48"/>
        <v>6000</v>
      </c>
      <c r="M778">
        <f t="shared" si="49"/>
        <v>3600</v>
      </c>
      <c r="N778">
        <f t="shared" si="50"/>
        <v>2400</v>
      </c>
      <c r="O778" s="2">
        <f t="shared" si="51"/>
        <v>0.4</v>
      </c>
    </row>
    <row r="779" spans="1:15">
      <c r="A779" t="s">
        <v>1234</v>
      </c>
      <c r="B779" t="s">
        <v>32</v>
      </c>
      <c r="C779" t="s">
        <v>233</v>
      </c>
      <c r="D779" t="s">
        <v>115</v>
      </c>
      <c r="E779" t="s">
        <v>18</v>
      </c>
      <c r="F779">
        <v>3</v>
      </c>
      <c r="G779">
        <v>45000</v>
      </c>
      <c r="H779" t="s">
        <v>95</v>
      </c>
      <c r="I779" t="str">
        <f>_xlfn.XLOOKUP(E779,'Products Master'!A:A,'Products Master'!B:B)</f>
        <v>Electronics</v>
      </c>
      <c r="J779">
        <f>_xlfn.XLOOKUP(E779,'Products Master'!A:A,'Products Master'!C:C)</f>
        <v>35000</v>
      </c>
      <c r="K779" t="str">
        <f>_xlfn.XLOOKUP(E779,'Products Master'!A:A,'Products Master'!D:D)</f>
        <v>HP</v>
      </c>
      <c r="L779">
        <f t="shared" si="48"/>
        <v>135000</v>
      </c>
      <c r="M779">
        <f t="shared" si="49"/>
        <v>105000</v>
      </c>
      <c r="N779">
        <f t="shared" si="50"/>
        <v>30000</v>
      </c>
      <c r="O779" s="2">
        <f t="shared" si="51"/>
        <v>0.22222222222222221</v>
      </c>
    </row>
    <row r="780" spans="1:15">
      <c r="A780" t="s">
        <v>1235</v>
      </c>
      <c r="B780" t="s">
        <v>480</v>
      </c>
      <c r="C780" t="s">
        <v>454</v>
      </c>
      <c r="D780" t="s">
        <v>29</v>
      </c>
      <c r="E780" t="s">
        <v>179</v>
      </c>
      <c r="F780">
        <v>4</v>
      </c>
      <c r="G780">
        <v>80000</v>
      </c>
      <c r="H780" t="s">
        <v>95</v>
      </c>
      <c r="I780" t="str">
        <f>_xlfn.XLOOKUP(E780,'Products Master'!A:A,'Products Master'!B:B)</f>
        <v>Electronics</v>
      </c>
      <c r="J780">
        <f>_xlfn.XLOOKUP(E780,'Products Master'!A:A,'Products Master'!C:C)</f>
        <v>65000</v>
      </c>
      <c r="K780" t="str">
        <f>_xlfn.XLOOKUP(E780,'Products Master'!A:A,'Products Master'!D:D)</f>
        <v>Samsung</v>
      </c>
      <c r="L780">
        <f t="shared" si="48"/>
        <v>320000</v>
      </c>
      <c r="M780">
        <f t="shared" si="49"/>
        <v>260000</v>
      </c>
      <c r="N780">
        <f t="shared" si="50"/>
        <v>60000</v>
      </c>
      <c r="O780" s="2">
        <f t="shared" si="51"/>
        <v>0.1875</v>
      </c>
    </row>
    <row r="781" spans="1:15">
      <c r="A781" t="s">
        <v>1236</v>
      </c>
      <c r="B781" t="s">
        <v>56</v>
      </c>
      <c r="C781" t="s">
        <v>568</v>
      </c>
      <c r="D781" t="s">
        <v>11</v>
      </c>
      <c r="E781" t="s">
        <v>35</v>
      </c>
      <c r="F781">
        <v>1</v>
      </c>
      <c r="G781">
        <v>2000</v>
      </c>
      <c r="H781" t="s">
        <v>95</v>
      </c>
      <c r="I781" t="str">
        <f>_xlfn.XLOOKUP(E781,'Products Master'!A:A,'Products Master'!B:B)</f>
        <v>Storage</v>
      </c>
      <c r="J781">
        <f>_xlfn.XLOOKUP(E781,'Products Master'!A:A,'Products Master'!C:C)</f>
        <v>1200</v>
      </c>
      <c r="K781" t="str">
        <f>_xlfn.XLOOKUP(E781,'Products Master'!A:A,'Products Master'!D:D)</f>
        <v>SanDisk</v>
      </c>
      <c r="L781">
        <f t="shared" si="48"/>
        <v>2000</v>
      </c>
      <c r="M781">
        <f t="shared" si="49"/>
        <v>1200</v>
      </c>
      <c r="N781">
        <f t="shared" si="50"/>
        <v>800</v>
      </c>
      <c r="O781" s="2">
        <f t="shared" si="51"/>
        <v>0.4</v>
      </c>
    </row>
    <row r="782" spans="1:15">
      <c r="A782" t="s">
        <v>1237</v>
      </c>
      <c r="B782" t="s">
        <v>936</v>
      </c>
      <c r="C782" t="s">
        <v>294</v>
      </c>
      <c r="D782" t="s">
        <v>34</v>
      </c>
      <c r="E782" t="s">
        <v>124</v>
      </c>
      <c r="F782">
        <v>3</v>
      </c>
      <c r="G782">
        <v>18000</v>
      </c>
      <c r="H782" t="s">
        <v>116</v>
      </c>
      <c r="I782" t="str">
        <f>_xlfn.XLOOKUP(E782,'Products Master'!A:A,'Products Master'!B:B)</f>
        <v>Storage</v>
      </c>
      <c r="J782">
        <f>_xlfn.XLOOKUP(E782,'Products Master'!A:A,'Products Master'!C:C)</f>
        <v>12000</v>
      </c>
      <c r="K782" t="str">
        <f>_xlfn.XLOOKUP(E782,'Products Master'!A:A,'Products Master'!D:D)</f>
        <v>Kingston</v>
      </c>
      <c r="L782">
        <f t="shared" si="48"/>
        <v>54000</v>
      </c>
      <c r="M782">
        <f t="shared" si="49"/>
        <v>36000</v>
      </c>
      <c r="N782">
        <f t="shared" si="50"/>
        <v>18000</v>
      </c>
      <c r="O782" s="2">
        <f t="shared" si="51"/>
        <v>0.33333333333333331</v>
      </c>
    </row>
    <row r="783" spans="1:15">
      <c r="A783" t="s">
        <v>1238</v>
      </c>
      <c r="B783" t="s">
        <v>1034</v>
      </c>
      <c r="C783" t="s">
        <v>403</v>
      </c>
      <c r="D783" t="s">
        <v>11</v>
      </c>
      <c r="E783" t="s">
        <v>179</v>
      </c>
      <c r="F783">
        <v>2</v>
      </c>
      <c r="G783">
        <v>80000</v>
      </c>
      <c r="H783" t="s">
        <v>66</v>
      </c>
      <c r="I783" t="str">
        <f>_xlfn.XLOOKUP(E783,'Products Master'!A:A,'Products Master'!B:B)</f>
        <v>Electronics</v>
      </c>
      <c r="J783">
        <f>_xlfn.XLOOKUP(E783,'Products Master'!A:A,'Products Master'!C:C)</f>
        <v>65000</v>
      </c>
      <c r="K783" t="str">
        <f>_xlfn.XLOOKUP(E783,'Products Master'!A:A,'Products Master'!D:D)</f>
        <v>Samsung</v>
      </c>
      <c r="L783">
        <f t="shared" si="48"/>
        <v>160000</v>
      </c>
      <c r="M783">
        <f t="shared" si="49"/>
        <v>130000</v>
      </c>
      <c r="N783">
        <f t="shared" si="50"/>
        <v>30000</v>
      </c>
      <c r="O783" s="2">
        <f t="shared" si="51"/>
        <v>0.1875</v>
      </c>
    </row>
    <row r="784" spans="1:15">
      <c r="A784" t="s">
        <v>1239</v>
      </c>
      <c r="B784" t="s">
        <v>1240</v>
      </c>
      <c r="C784" t="s">
        <v>98</v>
      </c>
      <c r="D784" t="s">
        <v>34</v>
      </c>
      <c r="E784" t="s">
        <v>99</v>
      </c>
      <c r="F784">
        <v>5</v>
      </c>
      <c r="G784">
        <v>5000</v>
      </c>
      <c r="H784" t="s">
        <v>13</v>
      </c>
      <c r="I784" t="str">
        <f>_xlfn.XLOOKUP(E784,'Products Master'!A:A,'Products Master'!B:B)</f>
        <v>Accessories</v>
      </c>
      <c r="J784">
        <f>_xlfn.XLOOKUP(E784,'Products Master'!A:A,'Products Master'!C:C)</f>
        <v>3500</v>
      </c>
      <c r="K784" t="str">
        <f>_xlfn.XLOOKUP(E784,'Products Master'!A:A,'Products Master'!D:D)</f>
        <v>Logitech</v>
      </c>
      <c r="L784">
        <f t="shared" si="48"/>
        <v>25000</v>
      </c>
      <c r="M784">
        <f t="shared" si="49"/>
        <v>17500</v>
      </c>
      <c r="N784">
        <f t="shared" si="50"/>
        <v>7500</v>
      </c>
      <c r="O784" s="2">
        <f t="shared" si="51"/>
        <v>0.3</v>
      </c>
    </row>
    <row r="785" spans="1:15">
      <c r="A785" t="s">
        <v>1241</v>
      </c>
      <c r="B785" t="s">
        <v>1079</v>
      </c>
      <c r="C785" t="s">
        <v>156</v>
      </c>
      <c r="D785" t="s">
        <v>23</v>
      </c>
      <c r="E785" t="s">
        <v>124</v>
      </c>
      <c r="F785">
        <v>5</v>
      </c>
      <c r="G785">
        <v>18000</v>
      </c>
      <c r="H785" t="s">
        <v>36</v>
      </c>
      <c r="I785" t="str">
        <f>_xlfn.XLOOKUP(E785,'Products Master'!A:A,'Products Master'!B:B)</f>
        <v>Storage</v>
      </c>
      <c r="J785">
        <f>_xlfn.XLOOKUP(E785,'Products Master'!A:A,'Products Master'!C:C)</f>
        <v>12000</v>
      </c>
      <c r="K785" t="str">
        <f>_xlfn.XLOOKUP(E785,'Products Master'!A:A,'Products Master'!D:D)</f>
        <v>Kingston</v>
      </c>
      <c r="L785">
        <f t="shared" si="48"/>
        <v>90000</v>
      </c>
      <c r="M785">
        <f t="shared" si="49"/>
        <v>60000</v>
      </c>
      <c r="N785">
        <f t="shared" si="50"/>
        <v>30000</v>
      </c>
      <c r="O785" s="2">
        <f t="shared" si="51"/>
        <v>0.33333333333333331</v>
      </c>
    </row>
    <row r="786" spans="1:15">
      <c r="A786" t="s">
        <v>1242</v>
      </c>
      <c r="B786" t="s">
        <v>783</v>
      </c>
      <c r="C786" t="s">
        <v>137</v>
      </c>
      <c r="D786" t="s">
        <v>115</v>
      </c>
      <c r="E786" t="s">
        <v>124</v>
      </c>
      <c r="F786">
        <v>3</v>
      </c>
      <c r="G786">
        <v>18000</v>
      </c>
      <c r="H786" t="s">
        <v>116</v>
      </c>
      <c r="I786" t="str">
        <f>_xlfn.XLOOKUP(E786,'Products Master'!A:A,'Products Master'!B:B)</f>
        <v>Storage</v>
      </c>
      <c r="J786">
        <f>_xlfn.XLOOKUP(E786,'Products Master'!A:A,'Products Master'!C:C)</f>
        <v>12000</v>
      </c>
      <c r="K786" t="str">
        <f>_xlfn.XLOOKUP(E786,'Products Master'!A:A,'Products Master'!D:D)</f>
        <v>Kingston</v>
      </c>
      <c r="L786">
        <f t="shared" si="48"/>
        <v>54000</v>
      </c>
      <c r="M786">
        <f t="shared" si="49"/>
        <v>36000</v>
      </c>
      <c r="N786">
        <f t="shared" si="50"/>
        <v>18000</v>
      </c>
      <c r="O786" s="2">
        <f t="shared" si="51"/>
        <v>0.33333333333333331</v>
      </c>
    </row>
    <row r="787" spans="1:15">
      <c r="A787" t="s">
        <v>1243</v>
      </c>
      <c r="B787" t="s">
        <v>516</v>
      </c>
      <c r="C787" t="s">
        <v>159</v>
      </c>
      <c r="D787" t="s">
        <v>17</v>
      </c>
      <c r="E787" t="s">
        <v>12</v>
      </c>
      <c r="F787">
        <v>2</v>
      </c>
      <c r="G787">
        <v>150000</v>
      </c>
      <c r="H787" t="s">
        <v>25</v>
      </c>
      <c r="I787" t="str">
        <f>_xlfn.XLOOKUP(E787,'Products Master'!A:A,'Products Master'!B:B)</f>
        <v>Electronics</v>
      </c>
      <c r="J787">
        <f>_xlfn.XLOOKUP(E787,'Products Master'!A:A,'Products Master'!C:C)</f>
        <v>120000</v>
      </c>
      <c r="K787" t="str">
        <f>_xlfn.XLOOKUP(E787,'Products Master'!A:A,'Products Master'!D:D)</f>
        <v>Dell</v>
      </c>
      <c r="L787">
        <f t="shared" si="48"/>
        <v>300000</v>
      </c>
      <c r="M787">
        <f t="shared" si="49"/>
        <v>240000</v>
      </c>
      <c r="N787">
        <f t="shared" si="50"/>
        <v>60000</v>
      </c>
      <c r="O787" s="2">
        <f t="shared" si="51"/>
        <v>0.2</v>
      </c>
    </row>
    <row r="788" spans="1:15">
      <c r="A788" t="s">
        <v>1244</v>
      </c>
      <c r="B788" t="s">
        <v>223</v>
      </c>
      <c r="C788" t="s">
        <v>263</v>
      </c>
      <c r="D788" t="s">
        <v>23</v>
      </c>
      <c r="E788" t="s">
        <v>49</v>
      </c>
      <c r="F788">
        <v>5</v>
      </c>
      <c r="G788">
        <v>9500</v>
      </c>
      <c r="H788" t="s">
        <v>30</v>
      </c>
      <c r="I788" t="str">
        <f>_xlfn.XLOOKUP(E788,'Products Master'!A:A,'Products Master'!B:B)</f>
        <v>Accessories</v>
      </c>
      <c r="J788">
        <f>_xlfn.XLOOKUP(E788,'Products Master'!A:A,'Products Master'!C:C)</f>
        <v>7000</v>
      </c>
      <c r="K788" t="str">
        <f>_xlfn.XLOOKUP(E788,'Products Master'!A:A,'Products Master'!D:D)</f>
        <v>Logitech</v>
      </c>
      <c r="L788">
        <f t="shared" si="48"/>
        <v>47500</v>
      </c>
      <c r="M788">
        <f t="shared" si="49"/>
        <v>35000</v>
      </c>
      <c r="N788">
        <f t="shared" si="50"/>
        <v>12500</v>
      </c>
      <c r="O788" s="2">
        <f t="shared" si="51"/>
        <v>0.26315789473684209</v>
      </c>
    </row>
    <row r="789" spans="1:15">
      <c r="A789" t="s">
        <v>1245</v>
      </c>
      <c r="B789" t="s">
        <v>1246</v>
      </c>
      <c r="C789" t="s">
        <v>233</v>
      </c>
      <c r="D789" t="s">
        <v>23</v>
      </c>
      <c r="E789" t="s">
        <v>54</v>
      </c>
      <c r="F789">
        <v>3</v>
      </c>
      <c r="G789">
        <v>7000</v>
      </c>
      <c r="H789" t="s">
        <v>13</v>
      </c>
      <c r="I789" t="str">
        <f>_xlfn.XLOOKUP(E789,'Products Master'!A:A,'Products Master'!B:B)</f>
        <v>Accessories</v>
      </c>
      <c r="J789">
        <f>_xlfn.XLOOKUP(E789,'Products Master'!A:A,'Products Master'!C:C)</f>
        <v>5000</v>
      </c>
      <c r="K789" t="str">
        <f>_xlfn.XLOOKUP(E789,'Products Master'!A:A,'Products Master'!D:D)</f>
        <v>Sony</v>
      </c>
      <c r="L789">
        <f t="shared" si="48"/>
        <v>21000</v>
      </c>
      <c r="M789">
        <f t="shared" si="49"/>
        <v>15000</v>
      </c>
      <c r="N789">
        <f t="shared" si="50"/>
        <v>6000</v>
      </c>
      <c r="O789" s="2">
        <f t="shared" si="51"/>
        <v>0.2857142857142857</v>
      </c>
    </row>
    <row r="790" spans="1:15">
      <c r="A790" t="s">
        <v>1247</v>
      </c>
      <c r="B790" t="s">
        <v>624</v>
      </c>
      <c r="C790" t="s">
        <v>189</v>
      </c>
      <c r="D790" t="s">
        <v>34</v>
      </c>
      <c r="E790" t="s">
        <v>179</v>
      </c>
      <c r="F790">
        <v>5</v>
      </c>
      <c r="G790">
        <v>80000</v>
      </c>
      <c r="H790" t="s">
        <v>19</v>
      </c>
      <c r="I790" t="str">
        <f>_xlfn.XLOOKUP(E790,'Products Master'!A:A,'Products Master'!B:B)</f>
        <v>Electronics</v>
      </c>
      <c r="J790">
        <f>_xlfn.XLOOKUP(E790,'Products Master'!A:A,'Products Master'!C:C)</f>
        <v>65000</v>
      </c>
      <c r="K790" t="str">
        <f>_xlfn.XLOOKUP(E790,'Products Master'!A:A,'Products Master'!D:D)</f>
        <v>Samsung</v>
      </c>
      <c r="L790">
        <f t="shared" si="48"/>
        <v>400000</v>
      </c>
      <c r="M790">
        <f t="shared" si="49"/>
        <v>325000</v>
      </c>
      <c r="N790">
        <f t="shared" si="50"/>
        <v>75000</v>
      </c>
      <c r="O790" s="2">
        <f t="shared" si="51"/>
        <v>0.1875</v>
      </c>
    </row>
    <row r="791" spans="1:15">
      <c r="A791" t="s">
        <v>1248</v>
      </c>
      <c r="B791" t="s">
        <v>670</v>
      </c>
      <c r="C791" t="s">
        <v>48</v>
      </c>
      <c r="D791" t="s">
        <v>45</v>
      </c>
      <c r="E791" t="s">
        <v>40</v>
      </c>
      <c r="F791">
        <v>5</v>
      </c>
      <c r="G791">
        <v>60000</v>
      </c>
      <c r="H791" t="s">
        <v>36</v>
      </c>
      <c r="I791" t="str">
        <f>_xlfn.XLOOKUP(E791,'Products Master'!A:A,'Products Master'!B:B)</f>
        <v>Electronics</v>
      </c>
      <c r="J791">
        <f>_xlfn.XLOOKUP(E791,'Products Master'!A:A,'Products Master'!C:C)</f>
        <v>50000</v>
      </c>
      <c r="K791" t="str">
        <f>_xlfn.XLOOKUP(E791,'Products Master'!A:A,'Products Master'!D:D)</f>
        <v>LG</v>
      </c>
      <c r="L791">
        <f t="shared" si="48"/>
        <v>300000</v>
      </c>
      <c r="M791">
        <f t="shared" si="49"/>
        <v>250000</v>
      </c>
      <c r="N791">
        <f t="shared" si="50"/>
        <v>50000</v>
      </c>
      <c r="O791" s="2">
        <f t="shared" si="51"/>
        <v>0.16666666666666666</v>
      </c>
    </row>
    <row r="792" spans="1:15">
      <c r="A792" t="s">
        <v>1249</v>
      </c>
      <c r="B792" t="s">
        <v>9</v>
      </c>
      <c r="C792" t="s">
        <v>568</v>
      </c>
      <c r="D792" t="s">
        <v>34</v>
      </c>
      <c r="E792" t="s">
        <v>49</v>
      </c>
      <c r="F792">
        <v>2</v>
      </c>
      <c r="G792">
        <v>9500</v>
      </c>
      <c r="H792" t="s">
        <v>30</v>
      </c>
      <c r="I792" t="str">
        <f>_xlfn.XLOOKUP(E792,'Products Master'!A:A,'Products Master'!B:B)</f>
        <v>Accessories</v>
      </c>
      <c r="J792">
        <f>_xlfn.XLOOKUP(E792,'Products Master'!A:A,'Products Master'!C:C)</f>
        <v>7000</v>
      </c>
      <c r="K792" t="str">
        <f>_xlfn.XLOOKUP(E792,'Products Master'!A:A,'Products Master'!D:D)</f>
        <v>Logitech</v>
      </c>
      <c r="L792">
        <f t="shared" si="48"/>
        <v>19000</v>
      </c>
      <c r="M792">
        <f t="shared" si="49"/>
        <v>14000</v>
      </c>
      <c r="N792">
        <f t="shared" si="50"/>
        <v>5000</v>
      </c>
      <c r="O792" s="2">
        <f t="shared" si="51"/>
        <v>0.26315789473684209</v>
      </c>
    </row>
    <row r="793" spans="1:15">
      <c r="A793" t="s">
        <v>1250</v>
      </c>
      <c r="B793" t="s">
        <v>1251</v>
      </c>
      <c r="C793" t="s">
        <v>156</v>
      </c>
      <c r="D793" t="s">
        <v>115</v>
      </c>
      <c r="E793" t="s">
        <v>24</v>
      </c>
      <c r="F793">
        <v>2</v>
      </c>
      <c r="G793">
        <v>2500</v>
      </c>
      <c r="H793" t="s">
        <v>25</v>
      </c>
      <c r="I793" t="str">
        <f>_xlfn.XLOOKUP(E793,'Products Master'!A:A,'Products Master'!B:B)</f>
        <v>Accessories</v>
      </c>
      <c r="J793">
        <f>_xlfn.XLOOKUP(E793,'Products Master'!A:A,'Products Master'!C:C)</f>
        <v>1500</v>
      </c>
      <c r="K793" t="str">
        <f>_xlfn.XLOOKUP(E793,'Products Master'!A:A,'Products Master'!D:D)</f>
        <v>Logitech</v>
      </c>
      <c r="L793">
        <f t="shared" si="48"/>
        <v>5000</v>
      </c>
      <c r="M793">
        <f t="shared" si="49"/>
        <v>3000</v>
      </c>
      <c r="N793">
        <f t="shared" si="50"/>
        <v>2000</v>
      </c>
      <c r="O793" s="2">
        <f t="shared" si="51"/>
        <v>0.4</v>
      </c>
    </row>
    <row r="794" spans="1:15">
      <c r="A794" t="s">
        <v>1252</v>
      </c>
      <c r="B794" t="s">
        <v>768</v>
      </c>
      <c r="C794" t="s">
        <v>842</v>
      </c>
      <c r="D794" t="s">
        <v>17</v>
      </c>
      <c r="E794" t="s">
        <v>18</v>
      </c>
      <c r="F794">
        <v>5</v>
      </c>
      <c r="G794">
        <v>45000</v>
      </c>
      <c r="H794" t="s">
        <v>30</v>
      </c>
      <c r="I794" t="str">
        <f>_xlfn.XLOOKUP(E794,'Products Master'!A:A,'Products Master'!B:B)</f>
        <v>Electronics</v>
      </c>
      <c r="J794">
        <f>_xlfn.XLOOKUP(E794,'Products Master'!A:A,'Products Master'!C:C)</f>
        <v>35000</v>
      </c>
      <c r="K794" t="str">
        <f>_xlfn.XLOOKUP(E794,'Products Master'!A:A,'Products Master'!D:D)</f>
        <v>HP</v>
      </c>
      <c r="L794">
        <f t="shared" si="48"/>
        <v>225000</v>
      </c>
      <c r="M794">
        <f t="shared" si="49"/>
        <v>175000</v>
      </c>
      <c r="N794">
        <f t="shared" si="50"/>
        <v>50000</v>
      </c>
      <c r="O794" s="2">
        <f t="shared" si="51"/>
        <v>0.22222222222222221</v>
      </c>
    </row>
    <row r="795" spans="1:15">
      <c r="A795" t="s">
        <v>1253</v>
      </c>
      <c r="B795" t="s">
        <v>747</v>
      </c>
      <c r="C795" t="s">
        <v>80</v>
      </c>
      <c r="D795" t="s">
        <v>29</v>
      </c>
      <c r="E795" t="s">
        <v>40</v>
      </c>
      <c r="F795">
        <v>1</v>
      </c>
      <c r="G795">
        <v>60000</v>
      </c>
      <c r="H795" t="s">
        <v>25</v>
      </c>
      <c r="I795" t="str">
        <f>_xlfn.XLOOKUP(E795,'Products Master'!A:A,'Products Master'!B:B)</f>
        <v>Electronics</v>
      </c>
      <c r="J795">
        <f>_xlfn.XLOOKUP(E795,'Products Master'!A:A,'Products Master'!C:C)</f>
        <v>50000</v>
      </c>
      <c r="K795" t="str">
        <f>_xlfn.XLOOKUP(E795,'Products Master'!A:A,'Products Master'!D:D)</f>
        <v>LG</v>
      </c>
      <c r="L795">
        <f t="shared" si="48"/>
        <v>60000</v>
      </c>
      <c r="M795">
        <f t="shared" si="49"/>
        <v>50000</v>
      </c>
      <c r="N795">
        <f t="shared" si="50"/>
        <v>10000</v>
      </c>
      <c r="O795" s="2">
        <f t="shared" si="51"/>
        <v>0.16666666666666666</v>
      </c>
    </row>
    <row r="796" spans="1:15">
      <c r="A796" t="s">
        <v>1254</v>
      </c>
      <c r="B796" t="s">
        <v>82</v>
      </c>
      <c r="C796" t="s">
        <v>156</v>
      </c>
      <c r="D796" t="s">
        <v>45</v>
      </c>
      <c r="E796" t="s">
        <v>40</v>
      </c>
      <c r="F796">
        <v>2</v>
      </c>
      <c r="G796">
        <v>60000</v>
      </c>
      <c r="H796" t="s">
        <v>50</v>
      </c>
      <c r="I796" t="str">
        <f>_xlfn.XLOOKUP(E796,'Products Master'!A:A,'Products Master'!B:B)</f>
        <v>Electronics</v>
      </c>
      <c r="J796">
        <f>_xlfn.XLOOKUP(E796,'Products Master'!A:A,'Products Master'!C:C)</f>
        <v>50000</v>
      </c>
      <c r="K796" t="str">
        <f>_xlfn.XLOOKUP(E796,'Products Master'!A:A,'Products Master'!D:D)</f>
        <v>LG</v>
      </c>
      <c r="L796">
        <f t="shared" si="48"/>
        <v>120000</v>
      </c>
      <c r="M796">
        <f t="shared" si="49"/>
        <v>100000</v>
      </c>
      <c r="N796">
        <f t="shared" si="50"/>
        <v>20000</v>
      </c>
      <c r="O796" s="2">
        <f t="shared" si="51"/>
        <v>0.16666666666666666</v>
      </c>
    </row>
    <row r="797" spans="1:15">
      <c r="A797" t="s">
        <v>1255</v>
      </c>
      <c r="B797" t="s">
        <v>1256</v>
      </c>
      <c r="C797" t="s">
        <v>285</v>
      </c>
      <c r="D797" t="s">
        <v>17</v>
      </c>
      <c r="E797" t="s">
        <v>124</v>
      </c>
      <c r="F797">
        <v>1</v>
      </c>
      <c r="G797">
        <v>18000</v>
      </c>
      <c r="H797" t="s">
        <v>36</v>
      </c>
      <c r="I797" t="str">
        <f>_xlfn.XLOOKUP(E797,'Products Master'!A:A,'Products Master'!B:B)</f>
        <v>Storage</v>
      </c>
      <c r="J797">
        <f>_xlfn.XLOOKUP(E797,'Products Master'!A:A,'Products Master'!C:C)</f>
        <v>12000</v>
      </c>
      <c r="K797" t="str">
        <f>_xlfn.XLOOKUP(E797,'Products Master'!A:A,'Products Master'!D:D)</f>
        <v>Kingston</v>
      </c>
      <c r="L797">
        <f t="shared" si="48"/>
        <v>18000</v>
      </c>
      <c r="M797">
        <f t="shared" si="49"/>
        <v>12000</v>
      </c>
      <c r="N797">
        <f t="shared" si="50"/>
        <v>6000</v>
      </c>
      <c r="O797" s="2">
        <f t="shared" si="51"/>
        <v>0.33333333333333331</v>
      </c>
    </row>
    <row r="798" spans="1:15">
      <c r="A798" t="s">
        <v>1257</v>
      </c>
      <c r="B798" t="s">
        <v>1258</v>
      </c>
      <c r="C798" t="s">
        <v>233</v>
      </c>
      <c r="D798" t="s">
        <v>34</v>
      </c>
      <c r="E798" t="s">
        <v>35</v>
      </c>
      <c r="F798">
        <v>3</v>
      </c>
      <c r="G798">
        <v>2000</v>
      </c>
      <c r="H798" t="s">
        <v>50</v>
      </c>
      <c r="I798" t="str">
        <f>_xlfn.XLOOKUP(E798,'Products Master'!A:A,'Products Master'!B:B)</f>
        <v>Storage</v>
      </c>
      <c r="J798">
        <f>_xlfn.XLOOKUP(E798,'Products Master'!A:A,'Products Master'!C:C)</f>
        <v>1200</v>
      </c>
      <c r="K798" t="str">
        <f>_xlfn.XLOOKUP(E798,'Products Master'!A:A,'Products Master'!D:D)</f>
        <v>SanDisk</v>
      </c>
      <c r="L798">
        <f t="shared" si="48"/>
        <v>6000</v>
      </c>
      <c r="M798">
        <f t="shared" si="49"/>
        <v>3600</v>
      </c>
      <c r="N798">
        <f t="shared" si="50"/>
        <v>2400</v>
      </c>
      <c r="O798" s="2">
        <f t="shared" si="51"/>
        <v>0.4</v>
      </c>
    </row>
    <row r="799" spans="1:15">
      <c r="A799" t="s">
        <v>1259</v>
      </c>
      <c r="B799" t="s">
        <v>1131</v>
      </c>
      <c r="C799" t="s">
        <v>294</v>
      </c>
      <c r="D799" t="s">
        <v>45</v>
      </c>
      <c r="E799" t="s">
        <v>18</v>
      </c>
      <c r="F799">
        <v>4</v>
      </c>
      <c r="G799">
        <v>45000</v>
      </c>
      <c r="H799" t="s">
        <v>19</v>
      </c>
      <c r="I799" t="str">
        <f>_xlfn.XLOOKUP(E799,'Products Master'!A:A,'Products Master'!B:B)</f>
        <v>Electronics</v>
      </c>
      <c r="J799">
        <f>_xlfn.XLOOKUP(E799,'Products Master'!A:A,'Products Master'!C:C)</f>
        <v>35000</v>
      </c>
      <c r="K799" t="str">
        <f>_xlfn.XLOOKUP(E799,'Products Master'!A:A,'Products Master'!D:D)</f>
        <v>HP</v>
      </c>
      <c r="L799">
        <f t="shared" si="48"/>
        <v>180000</v>
      </c>
      <c r="M799">
        <f t="shared" si="49"/>
        <v>140000</v>
      </c>
      <c r="N799">
        <f t="shared" si="50"/>
        <v>40000</v>
      </c>
      <c r="O799" s="2">
        <f t="shared" si="51"/>
        <v>0.22222222222222221</v>
      </c>
    </row>
    <row r="800" spans="1:15">
      <c r="A800" t="s">
        <v>1260</v>
      </c>
      <c r="B800" t="s">
        <v>899</v>
      </c>
      <c r="C800" t="s">
        <v>167</v>
      </c>
      <c r="D800" t="s">
        <v>111</v>
      </c>
      <c r="E800" t="s">
        <v>35</v>
      </c>
      <c r="F800">
        <v>2</v>
      </c>
      <c r="G800">
        <v>2000</v>
      </c>
      <c r="H800" t="s">
        <v>36</v>
      </c>
      <c r="I800" t="str">
        <f>_xlfn.XLOOKUP(E800,'Products Master'!A:A,'Products Master'!B:B)</f>
        <v>Storage</v>
      </c>
      <c r="J800">
        <f>_xlfn.XLOOKUP(E800,'Products Master'!A:A,'Products Master'!C:C)</f>
        <v>1200</v>
      </c>
      <c r="K800" t="str">
        <f>_xlfn.XLOOKUP(E800,'Products Master'!A:A,'Products Master'!D:D)</f>
        <v>SanDisk</v>
      </c>
      <c r="L800">
        <f t="shared" si="48"/>
        <v>4000</v>
      </c>
      <c r="M800">
        <f t="shared" si="49"/>
        <v>2400</v>
      </c>
      <c r="N800">
        <f t="shared" si="50"/>
        <v>1600</v>
      </c>
      <c r="O800" s="2">
        <f t="shared" si="51"/>
        <v>0.4</v>
      </c>
    </row>
    <row r="801" spans="1:15">
      <c r="A801" t="s">
        <v>1261</v>
      </c>
      <c r="B801" t="s">
        <v>280</v>
      </c>
      <c r="C801" t="s">
        <v>233</v>
      </c>
      <c r="D801" t="s">
        <v>17</v>
      </c>
      <c r="E801" t="s">
        <v>124</v>
      </c>
      <c r="F801">
        <v>4</v>
      </c>
      <c r="G801">
        <v>18000</v>
      </c>
      <c r="H801" t="s">
        <v>25</v>
      </c>
      <c r="I801" t="str">
        <f>_xlfn.XLOOKUP(E801,'Products Master'!A:A,'Products Master'!B:B)</f>
        <v>Storage</v>
      </c>
      <c r="J801">
        <f>_xlfn.XLOOKUP(E801,'Products Master'!A:A,'Products Master'!C:C)</f>
        <v>12000</v>
      </c>
      <c r="K801" t="str">
        <f>_xlfn.XLOOKUP(E801,'Products Master'!A:A,'Products Master'!D:D)</f>
        <v>Kingston</v>
      </c>
      <c r="L801">
        <f t="shared" si="48"/>
        <v>72000</v>
      </c>
      <c r="M801">
        <f t="shared" si="49"/>
        <v>48000</v>
      </c>
      <c r="N801">
        <f t="shared" si="50"/>
        <v>24000</v>
      </c>
      <c r="O801" s="2">
        <f t="shared" si="51"/>
        <v>0.33333333333333331</v>
      </c>
    </row>
    <row r="802" spans="1:15">
      <c r="A802" t="s">
        <v>1262</v>
      </c>
      <c r="B802" t="s">
        <v>1263</v>
      </c>
      <c r="C802" t="s">
        <v>162</v>
      </c>
      <c r="D802" t="s">
        <v>23</v>
      </c>
      <c r="E802" t="s">
        <v>40</v>
      </c>
      <c r="F802">
        <v>2</v>
      </c>
      <c r="G802">
        <v>60000</v>
      </c>
      <c r="H802" t="s">
        <v>13</v>
      </c>
      <c r="I802" t="str">
        <f>_xlfn.XLOOKUP(E802,'Products Master'!A:A,'Products Master'!B:B)</f>
        <v>Electronics</v>
      </c>
      <c r="J802">
        <f>_xlfn.XLOOKUP(E802,'Products Master'!A:A,'Products Master'!C:C)</f>
        <v>50000</v>
      </c>
      <c r="K802" t="str">
        <f>_xlfn.XLOOKUP(E802,'Products Master'!A:A,'Products Master'!D:D)</f>
        <v>LG</v>
      </c>
      <c r="L802">
        <f t="shared" si="48"/>
        <v>120000</v>
      </c>
      <c r="M802">
        <f t="shared" si="49"/>
        <v>100000</v>
      </c>
      <c r="N802">
        <f t="shared" si="50"/>
        <v>20000</v>
      </c>
      <c r="O802" s="2">
        <f t="shared" si="51"/>
        <v>0.16666666666666666</v>
      </c>
    </row>
    <row r="803" spans="1:15">
      <c r="A803" t="s">
        <v>1264</v>
      </c>
      <c r="B803" t="s">
        <v>530</v>
      </c>
      <c r="C803" t="s">
        <v>387</v>
      </c>
      <c r="D803" t="s">
        <v>115</v>
      </c>
      <c r="E803" t="s">
        <v>40</v>
      </c>
      <c r="F803">
        <v>3</v>
      </c>
      <c r="G803">
        <v>60000</v>
      </c>
      <c r="H803" t="s">
        <v>19</v>
      </c>
      <c r="I803" t="str">
        <f>_xlfn.XLOOKUP(E803,'Products Master'!A:A,'Products Master'!B:B)</f>
        <v>Electronics</v>
      </c>
      <c r="J803">
        <f>_xlfn.XLOOKUP(E803,'Products Master'!A:A,'Products Master'!C:C)</f>
        <v>50000</v>
      </c>
      <c r="K803" t="str">
        <f>_xlfn.XLOOKUP(E803,'Products Master'!A:A,'Products Master'!D:D)</f>
        <v>LG</v>
      </c>
      <c r="L803">
        <f t="shared" si="48"/>
        <v>180000</v>
      </c>
      <c r="M803">
        <f t="shared" si="49"/>
        <v>150000</v>
      </c>
      <c r="N803">
        <f t="shared" si="50"/>
        <v>30000</v>
      </c>
      <c r="O803" s="2">
        <f t="shared" si="51"/>
        <v>0.16666666666666666</v>
      </c>
    </row>
    <row r="804" spans="1:15">
      <c r="A804" t="s">
        <v>1265</v>
      </c>
      <c r="B804" t="s">
        <v>762</v>
      </c>
      <c r="C804" t="s">
        <v>312</v>
      </c>
      <c r="D804" t="s">
        <v>34</v>
      </c>
      <c r="E804" t="s">
        <v>35</v>
      </c>
      <c r="F804">
        <v>3</v>
      </c>
      <c r="G804">
        <v>2000</v>
      </c>
      <c r="H804" t="s">
        <v>30</v>
      </c>
      <c r="I804" t="str">
        <f>_xlfn.XLOOKUP(E804,'Products Master'!A:A,'Products Master'!B:B)</f>
        <v>Storage</v>
      </c>
      <c r="J804">
        <f>_xlfn.XLOOKUP(E804,'Products Master'!A:A,'Products Master'!C:C)</f>
        <v>1200</v>
      </c>
      <c r="K804" t="str">
        <f>_xlfn.XLOOKUP(E804,'Products Master'!A:A,'Products Master'!D:D)</f>
        <v>SanDisk</v>
      </c>
      <c r="L804">
        <f t="shared" si="48"/>
        <v>6000</v>
      </c>
      <c r="M804">
        <f t="shared" si="49"/>
        <v>3600</v>
      </c>
      <c r="N804">
        <f t="shared" si="50"/>
        <v>2400</v>
      </c>
      <c r="O804" s="2">
        <f t="shared" si="51"/>
        <v>0.4</v>
      </c>
    </row>
    <row r="805" spans="1:15">
      <c r="A805" t="s">
        <v>1266</v>
      </c>
      <c r="B805" t="s">
        <v>322</v>
      </c>
      <c r="C805" t="s">
        <v>186</v>
      </c>
      <c r="D805" t="s">
        <v>29</v>
      </c>
      <c r="E805" t="s">
        <v>24</v>
      </c>
      <c r="F805">
        <v>4</v>
      </c>
      <c r="G805">
        <v>2500</v>
      </c>
      <c r="H805" t="s">
        <v>41</v>
      </c>
      <c r="I805" t="str">
        <f>_xlfn.XLOOKUP(E805,'Products Master'!A:A,'Products Master'!B:B)</f>
        <v>Accessories</v>
      </c>
      <c r="J805">
        <f>_xlfn.XLOOKUP(E805,'Products Master'!A:A,'Products Master'!C:C)</f>
        <v>1500</v>
      </c>
      <c r="K805" t="str">
        <f>_xlfn.XLOOKUP(E805,'Products Master'!A:A,'Products Master'!D:D)</f>
        <v>Logitech</v>
      </c>
      <c r="L805">
        <f t="shared" si="48"/>
        <v>10000</v>
      </c>
      <c r="M805">
        <f t="shared" si="49"/>
        <v>6000</v>
      </c>
      <c r="N805">
        <f t="shared" si="50"/>
        <v>4000</v>
      </c>
      <c r="O805" s="2">
        <f t="shared" si="51"/>
        <v>0.4</v>
      </c>
    </row>
    <row r="806" spans="1:15">
      <c r="A806" t="s">
        <v>1267</v>
      </c>
      <c r="B806" t="s">
        <v>206</v>
      </c>
      <c r="C806" t="s">
        <v>156</v>
      </c>
      <c r="D806" t="s">
        <v>23</v>
      </c>
      <c r="E806" t="s">
        <v>49</v>
      </c>
      <c r="F806">
        <v>2</v>
      </c>
      <c r="G806">
        <v>9500</v>
      </c>
      <c r="H806" t="s">
        <v>95</v>
      </c>
      <c r="I806" t="str">
        <f>_xlfn.XLOOKUP(E806,'Products Master'!A:A,'Products Master'!B:B)</f>
        <v>Accessories</v>
      </c>
      <c r="J806">
        <f>_xlfn.XLOOKUP(E806,'Products Master'!A:A,'Products Master'!C:C)</f>
        <v>7000</v>
      </c>
      <c r="K806" t="str">
        <f>_xlfn.XLOOKUP(E806,'Products Master'!A:A,'Products Master'!D:D)</f>
        <v>Logitech</v>
      </c>
      <c r="L806">
        <f t="shared" si="48"/>
        <v>19000</v>
      </c>
      <c r="M806">
        <f t="shared" si="49"/>
        <v>14000</v>
      </c>
      <c r="N806">
        <f t="shared" si="50"/>
        <v>5000</v>
      </c>
      <c r="O806" s="2">
        <f t="shared" si="51"/>
        <v>0.26315789473684209</v>
      </c>
    </row>
    <row r="807" spans="1:15">
      <c r="A807" t="s">
        <v>1268</v>
      </c>
      <c r="B807" t="s">
        <v>90</v>
      </c>
      <c r="C807" t="s">
        <v>294</v>
      </c>
      <c r="D807" t="s">
        <v>29</v>
      </c>
      <c r="E807" t="s">
        <v>18</v>
      </c>
      <c r="F807">
        <v>3</v>
      </c>
      <c r="G807">
        <v>45000</v>
      </c>
      <c r="H807" t="s">
        <v>19</v>
      </c>
      <c r="I807" t="str">
        <f>_xlfn.XLOOKUP(E807,'Products Master'!A:A,'Products Master'!B:B)</f>
        <v>Electronics</v>
      </c>
      <c r="J807">
        <f>_xlfn.XLOOKUP(E807,'Products Master'!A:A,'Products Master'!C:C)</f>
        <v>35000</v>
      </c>
      <c r="K807" t="str">
        <f>_xlfn.XLOOKUP(E807,'Products Master'!A:A,'Products Master'!D:D)</f>
        <v>HP</v>
      </c>
      <c r="L807">
        <f t="shared" si="48"/>
        <v>135000</v>
      </c>
      <c r="M807">
        <f t="shared" si="49"/>
        <v>105000</v>
      </c>
      <c r="N807">
        <f t="shared" si="50"/>
        <v>30000</v>
      </c>
      <c r="O807" s="2">
        <f t="shared" si="51"/>
        <v>0.22222222222222221</v>
      </c>
    </row>
    <row r="808" spans="1:15">
      <c r="A808" t="s">
        <v>1269</v>
      </c>
      <c r="B808" t="s">
        <v>113</v>
      </c>
      <c r="C808" t="s">
        <v>346</v>
      </c>
      <c r="D808" t="s">
        <v>23</v>
      </c>
      <c r="E808" t="s">
        <v>18</v>
      </c>
      <c r="F808">
        <v>5</v>
      </c>
      <c r="G808">
        <v>45000</v>
      </c>
      <c r="H808" t="s">
        <v>50</v>
      </c>
      <c r="I808" t="str">
        <f>_xlfn.XLOOKUP(E808,'Products Master'!A:A,'Products Master'!B:B)</f>
        <v>Electronics</v>
      </c>
      <c r="J808">
        <f>_xlfn.XLOOKUP(E808,'Products Master'!A:A,'Products Master'!C:C)</f>
        <v>35000</v>
      </c>
      <c r="K808" t="str">
        <f>_xlfn.XLOOKUP(E808,'Products Master'!A:A,'Products Master'!D:D)</f>
        <v>HP</v>
      </c>
      <c r="L808">
        <f t="shared" si="48"/>
        <v>225000</v>
      </c>
      <c r="M808">
        <f t="shared" si="49"/>
        <v>175000</v>
      </c>
      <c r="N808">
        <f t="shared" si="50"/>
        <v>50000</v>
      </c>
      <c r="O808" s="2">
        <f t="shared" si="51"/>
        <v>0.22222222222222221</v>
      </c>
    </row>
    <row r="809" spans="1:15">
      <c r="A809" t="s">
        <v>1270</v>
      </c>
      <c r="B809" t="s">
        <v>1131</v>
      </c>
      <c r="C809" t="s">
        <v>77</v>
      </c>
      <c r="D809" t="s">
        <v>34</v>
      </c>
      <c r="E809" t="s">
        <v>49</v>
      </c>
      <c r="F809">
        <v>3</v>
      </c>
      <c r="G809">
        <v>9500</v>
      </c>
      <c r="H809" t="s">
        <v>116</v>
      </c>
      <c r="I809" t="str">
        <f>_xlfn.XLOOKUP(E809,'Products Master'!A:A,'Products Master'!B:B)</f>
        <v>Accessories</v>
      </c>
      <c r="J809">
        <f>_xlfn.XLOOKUP(E809,'Products Master'!A:A,'Products Master'!C:C)</f>
        <v>7000</v>
      </c>
      <c r="K809" t="str">
        <f>_xlfn.XLOOKUP(E809,'Products Master'!A:A,'Products Master'!D:D)</f>
        <v>Logitech</v>
      </c>
      <c r="L809">
        <f t="shared" si="48"/>
        <v>28500</v>
      </c>
      <c r="M809">
        <f t="shared" si="49"/>
        <v>21000</v>
      </c>
      <c r="N809">
        <f t="shared" si="50"/>
        <v>7500</v>
      </c>
      <c r="O809" s="2">
        <f t="shared" si="51"/>
        <v>0.26315789473684209</v>
      </c>
    </row>
    <row r="810" spans="1:15">
      <c r="A810" t="s">
        <v>1271</v>
      </c>
      <c r="B810" t="s">
        <v>571</v>
      </c>
      <c r="C810" t="s">
        <v>147</v>
      </c>
      <c r="D810" t="s">
        <v>11</v>
      </c>
      <c r="E810" t="s">
        <v>179</v>
      </c>
      <c r="F810">
        <v>1</v>
      </c>
      <c r="G810">
        <v>80000</v>
      </c>
      <c r="H810" t="s">
        <v>13</v>
      </c>
      <c r="I810" t="str">
        <f>_xlfn.XLOOKUP(E810,'Products Master'!A:A,'Products Master'!B:B)</f>
        <v>Electronics</v>
      </c>
      <c r="J810">
        <f>_xlfn.XLOOKUP(E810,'Products Master'!A:A,'Products Master'!C:C)</f>
        <v>65000</v>
      </c>
      <c r="K810" t="str">
        <f>_xlfn.XLOOKUP(E810,'Products Master'!A:A,'Products Master'!D:D)</f>
        <v>Samsung</v>
      </c>
      <c r="L810">
        <f t="shared" si="48"/>
        <v>80000</v>
      </c>
      <c r="M810">
        <f t="shared" si="49"/>
        <v>65000</v>
      </c>
      <c r="N810">
        <f t="shared" si="50"/>
        <v>15000</v>
      </c>
      <c r="O810" s="2">
        <f t="shared" si="51"/>
        <v>0.1875</v>
      </c>
    </row>
    <row r="811" spans="1:15">
      <c r="A811" t="s">
        <v>1272</v>
      </c>
      <c r="B811" t="s">
        <v>764</v>
      </c>
      <c r="C811" t="s">
        <v>568</v>
      </c>
      <c r="D811" t="s">
        <v>23</v>
      </c>
      <c r="E811" t="s">
        <v>12</v>
      </c>
      <c r="F811">
        <v>4</v>
      </c>
      <c r="G811">
        <v>150000</v>
      </c>
      <c r="H811" t="s">
        <v>41</v>
      </c>
      <c r="I811" t="str">
        <f>_xlfn.XLOOKUP(E811,'Products Master'!A:A,'Products Master'!B:B)</f>
        <v>Electronics</v>
      </c>
      <c r="J811">
        <f>_xlfn.XLOOKUP(E811,'Products Master'!A:A,'Products Master'!C:C)</f>
        <v>120000</v>
      </c>
      <c r="K811" t="str">
        <f>_xlfn.XLOOKUP(E811,'Products Master'!A:A,'Products Master'!D:D)</f>
        <v>Dell</v>
      </c>
      <c r="L811">
        <f t="shared" si="48"/>
        <v>600000</v>
      </c>
      <c r="M811">
        <f t="shared" si="49"/>
        <v>480000</v>
      </c>
      <c r="N811">
        <f t="shared" si="50"/>
        <v>120000</v>
      </c>
      <c r="O811" s="2">
        <f t="shared" si="51"/>
        <v>0.2</v>
      </c>
    </row>
    <row r="812" spans="1:15">
      <c r="A812" t="s">
        <v>1273</v>
      </c>
      <c r="B812" t="s">
        <v>873</v>
      </c>
      <c r="C812" t="s">
        <v>299</v>
      </c>
      <c r="D812" t="s">
        <v>34</v>
      </c>
      <c r="E812" t="s">
        <v>35</v>
      </c>
      <c r="F812">
        <v>3</v>
      </c>
      <c r="G812">
        <v>2000</v>
      </c>
      <c r="H812" t="s">
        <v>95</v>
      </c>
      <c r="I812" t="str">
        <f>_xlfn.XLOOKUP(E812,'Products Master'!A:A,'Products Master'!B:B)</f>
        <v>Storage</v>
      </c>
      <c r="J812">
        <f>_xlfn.XLOOKUP(E812,'Products Master'!A:A,'Products Master'!C:C)</f>
        <v>1200</v>
      </c>
      <c r="K812" t="str">
        <f>_xlfn.XLOOKUP(E812,'Products Master'!A:A,'Products Master'!D:D)</f>
        <v>SanDisk</v>
      </c>
      <c r="L812">
        <f t="shared" si="48"/>
        <v>6000</v>
      </c>
      <c r="M812">
        <f t="shared" si="49"/>
        <v>3600</v>
      </c>
      <c r="N812">
        <f t="shared" si="50"/>
        <v>2400</v>
      </c>
      <c r="O812" s="2">
        <f t="shared" si="51"/>
        <v>0.4</v>
      </c>
    </row>
    <row r="813" spans="1:15">
      <c r="A813" t="s">
        <v>1274</v>
      </c>
      <c r="B813" t="s">
        <v>909</v>
      </c>
      <c r="C813" t="s">
        <v>83</v>
      </c>
      <c r="D813" t="s">
        <v>111</v>
      </c>
      <c r="E813" t="s">
        <v>179</v>
      </c>
      <c r="F813">
        <v>4</v>
      </c>
      <c r="G813">
        <v>80000</v>
      </c>
      <c r="H813" t="s">
        <v>36</v>
      </c>
      <c r="I813" t="str">
        <f>_xlfn.XLOOKUP(E813,'Products Master'!A:A,'Products Master'!B:B)</f>
        <v>Electronics</v>
      </c>
      <c r="J813">
        <f>_xlfn.XLOOKUP(E813,'Products Master'!A:A,'Products Master'!C:C)</f>
        <v>65000</v>
      </c>
      <c r="K813" t="str">
        <f>_xlfn.XLOOKUP(E813,'Products Master'!A:A,'Products Master'!D:D)</f>
        <v>Samsung</v>
      </c>
      <c r="L813">
        <f t="shared" si="48"/>
        <v>320000</v>
      </c>
      <c r="M813">
        <f t="shared" si="49"/>
        <v>260000</v>
      </c>
      <c r="N813">
        <f t="shared" si="50"/>
        <v>60000</v>
      </c>
      <c r="O813" s="2">
        <f t="shared" si="51"/>
        <v>0.1875</v>
      </c>
    </row>
    <row r="814" spans="1:15">
      <c r="A814" t="s">
        <v>1275</v>
      </c>
      <c r="B814" t="s">
        <v>734</v>
      </c>
      <c r="C814" t="s">
        <v>394</v>
      </c>
      <c r="D814" t="s">
        <v>23</v>
      </c>
      <c r="E814" t="s">
        <v>179</v>
      </c>
      <c r="F814">
        <v>1</v>
      </c>
      <c r="G814">
        <v>80000</v>
      </c>
      <c r="H814" t="s">
        <v>13</v>
      </c>
      <c r="I814" t="str">
        <f>_xlfn.XLOOKUP(E814,'Products Master'!A:A,'Products Master'!B:B)</f>
        <v>Electronics</v>
      </c>
      <c r="J814">
        <f>_xlfn.XLOOKUP(E814,'Products Master'!A:A,'Products Master'!C:C)</f>
        <v>65000</v>
      </c>
      <c r="K814" t="str">
        <f>_xlfn.XLOOKUP(E814,'Products Master'!A:A,'Products Master'!D:D)</f>
        <v>Samsung</v>
      </c>
      <c r="L814">
        <f t="shared" si="48"/>
        <v>80000</v>
      </c>
      <c r="M814">
        <f t="shared" si="49"/>
        <v>65000</v>
      </c>
      <c r="N814">
        <f t="shared" si="50"/>
        <v>15000</v>
      </c>
      <c r="O814" s="2">
        <f t="shared" si="51"/>
        <v>0.1875</v>
      </c>
    </row>
    <row r="815" spans="1:15">
      <c r="A815" t="s">
        <v>1276</v>
      </c>
      <c r="B815" t="s">
        <v>270</v>
      </c>
      <c r="C815" t="s">
        <v>318</v>
      </c>
      <c r="D815" t="s">
        <v>11</v>
      </c>
      <c r="E815" t="s">
        <v>35</v>
      </c>
      <c r="F815">
        <v>1</v>
      </c>
      <c r="G815">
        <v>2000</v>
      </c>
      <c r="H815" t="s">
        <v>19</v>
      </c>
      <c r="I815" t="str">
        <f>_xlfn.XLOOKUP(E815,'Products Master'!A:A,'Products Master'!B:B)</f>
        <v>Storage</v>
      </c>
      <c r="J815">
        <f>_xlfn.XLOOKUP(E815,'Products Master'!A:A,'Products Master'!C:C)</f>
        <v>1200</v>
      </c>
      <c r="K815" t="str">
        <f>_xlfn.XLOOKUP(E815,'Products Master'!A:A,'Products Master'!D:D)</f>
        <v>SanDisk</v>
      </c>
      <c r="L815">
        <f t="shared" si="48"/>
        <v>2000</v>
      </c>
      <c r="M815">
        <f t="shared" si="49"/>
        <v>1200</v>
      </c>
      <c r="N815">
        <f t="shared" si="50"/>
        <v>800</v>
      </c>
      <c r="O815" s="2">
        <f t="shared" si="51"/>
        <v>0.4</v>
      </c>
    </row>
    <row r="816" spans="1:15">
      <c r="A816" t="s">
        <v>1277</v>
      </c>
      <c r="B816" t="s">
        <v>381</v>
      </c>
      <c r="C816" t="s">
        <v>173</v>
      </c>
      <c r="D816" t="s">
        <v>11</v>
      </c>
      <c r="E816" t="s">
        <v>24</v>
      </c>
      <c r="F816">
        <v>4</v>
      </c>
      <c r="G816">
        <v>2500</v>
      </c>
      <c r="H816" t="s">
        <v>41</v>
      </c>
      <c r="I816" t="str">
        <f>_xlfn.XLOOKUP(E816,'Products Master'!A:A,'Products Master'!B:B)</f>
        <v>Accessories</v>
      </c>
      <c r="J816">
        <f>_xlfn.XLOOKUP(E816,'Products Master'!A:A,'Products Master'!C:C)</f>
        <v>1500</v>
      </c>
      <c r="K816" t="str">
        <f>_xlfn.XLOOKUP(E816,'Products Master'!A:A,'Products Master'!D:D)</f>
        <v>Logitech</v>
      </c>
      <c r="L816">
        <f t="shared" si="48"/>
        <v>10000</v>
      </c>
      <c r="M816">
        <f t="shared" si="49"/>
        <v>6000</v>
      </c>
      <c r="N816">
        <f t="shared" si="50"/>
        <v>4000</v>
      </c>
      <c r="O816" s="2">
        <f t="shared" si="51"/>
        <v>0.4</v>
      </c>
    </row>
    <row r="817" spans="1:15">
      <c r="A817" t="s">
        <v>1278</v>
      </c>
      <c r="B817" t="s">
        <v>241</v>
      </c>
      <c r="C817" t="s">
        <v>697</v>
      </c>
      <c r="D817" t="s">
        <v>34</v>
      </c>
      <c r="E817" t="s">
        <v>12</v>
      </c>
      <c r="F817">
        <v>2</v>
      </c>
      <c r="G817">
        <v>150000</v>
      </c>
      <c r="H817" t="s">
        <v>116</v>
      </c>
      <c r="I817" t="str">
        <f>_xlfn.XLOOKUP(E817,'Products Master'!A:A,'Products Master'!B:B)</f>
        <v>Electronics</v>
      </c>
      <c r="J817">
        <f>_xlfn.XLOOKUP(E817,'Products Master'!A:A,'Products Master'!C:C)</f>
        <v>120000</v>
      </c>
      <c r="K817" t="str">
        <f>_xlfn.XLOOKUP(E817,'Products Master'!A:A,'Products Master'!D:D)</f>
        <v>Dell</v>
      </c>
      <c r="L817">
        <f t="shared" si="48"/>
        <v>300000</v>
      </c>
      <c r="M817">
        <f t="shared" si="49"/>
        <v>240000</v>
      </c>
      <c r="N817">
        <f t="shared" si="50"/>
        <v>60000</v>
      </c>
      <c r="O817" s="2">
        <f t="shared" si="51"/>
        <v>0.2</v>
      </c>
    </row>
    <row r="818" spans="1:15">
      <c r="A818" t="s">
        <v>1279</v>
      </c>
      <c r="B818" t="s">
        <v>82</v>
      </c>
      <c r="C818" t="s">
        <v>74</v>
      </c>
      <c r="D818" t="s">
        <v>11</v>
      </c>
      <c r="E818" t="s">
        <v>99</v>
      </c>
      <c r="F818">
        <v>4</v>
      </c>
      <c r="G818">
        <v>5000</v>
      </c>
      <c r="H818" t="s">
        <v>19</v>
      </c>
      <c r="I818" t="str">
        <f>_xlfn.XLOOKUP(E818,'Products Master'!A:A,'Products Master'!B:B)</f>
        <v>Accessories</v>
      </c>
      <c r="J818">
        <f>_xlfn.XLOOKUP(E818,'Products Master'!A:A,'Products Master'!C:C)</f>
        <v>3500</v>
      </c>
      <c r="K818" t="str">
        <f>_xlfn.XLOOKUP(E818,'Products Master'!A:A,'Products Master'!D:D)</f>
        <v>Logitech</v>
      </c>
      <c r="L818">
        <f t="shared" si="48"/>
        <v>20000</v>
      </c>
      <c r="M818">
        <f t="shared" si="49"/>
        <v>14000</v>
      </c>
      <c r="N818">
        <f t="shared" si="50"/>
        <v>6000</v>
      </c>
      <c r="O818" s="2">
        <f t="shared" si="51"/>
        <v>0.3</v>
      </c>
    </row>
    <row r="819" spans="1:15">
      <c r="A819" t="s">
        <v>1280</v>
      </c>
      <c r="B819" t="s">
        <v>945</v>
      </c>
      <c r="C819" t="s">
        <v>312</v>
      </c>
      <c r="D819" t="s">
        <v>23</v>
      </c>
      <c r="E819" t="s">
        <v>99</v>
      </c>
      <c r="F819">
        <v>4</v>
      </c>
      <c r="G819">
        <v>5000</v>
      </c>
      <c r="H819" t="s">
        <v>19</v>
      </c>
      <c r="I819" t="str">
        <f>_xlfn.XLOOKUP(E819,'Products Master'!A:A,'Products Master'!B:B)</f>
        <v>Accessories</v>
      </c>
      <c r="J819">
        <f>_xlfn.XLOOKUP(E819,'Products Master'!A:A,'Products Master'!C:C)</f>
        <v>3500</v>
      </c>
      <c r="K819" t="str">
        <f>_xlfn.XLOOKUP(E819,'Products Master'!A:A,'Products Master'!D:D)</f>
        <v>Logitech</v>
      </c>
      <c r="L819">
        <f t="shared" si="48"/>
        <v>20000</v>
      </c>
      <c r="M819">
        <f t="shared" si="49"/>
        <v>14000</v>
      </c>
      <c r="N819">
        <f t="shared" si="50"/>
        <v>6000</v>
      </c>
      <c r="O819" s="2">
        <f t="shared" si="51"/>
        <v>0.3</v>
      </c>
    </row>
    <row r="820" spans="1:15">
      <c r="A820" t="s">
        <v>1281</v>
      </c>
      <c r="B820" t="s">
        <v>301</v>
      </c>
      <c r="C820" t="s">
        <v>53</v>
      </c>
      <c r="D820" t="s">
        <v>11</v>
      </c>
      <c r="E820" t="s">
        <v>54</v>
      </c>
      <c r="F820">
        <v>5</v>
      </c>
      <c r="G820">
        <v>7000</v>
      </c>
      <c r="H820" t="s">
        <v>95</v>
      </c>
      <c r="I820" t="str">
        <f>_xlfn.XLOOKUP(E820,'Products Master'!A:A,'Products Master'!B:B)</f>
        <v>Accessories</v>
      </c>
      <c r="J820">
        <f>_xlfn.XLOOKUP(E820,'Products Master'!A:A,'Products Master'!C:C)</f>
        <v>5000</v>
      </c>
      <c r="K820" t="str">
        <f>_xlfn.XLOOKUP(E820,'Products Master'!A:A,'Products Master'!D:D)</f>
        <v>Sony</v>
      </c>
      <c r="L820">
        <f t="shared" si="48"/>
        <v>35000</v>
      </c>
      <c r="M820">
        <f t="shared" si="49"/>
        <v>25000</v>
      </c>
      <c r="N820">
        <f t="shared" si="50"/>
        <v>10000</v>
      </c>
      <c r="O820" s="2">
        <f t="shared" si="51"/>
        <v>0.2857142857142857</v>
      </c>
    </row>
    <row r="821" spans="1:15">
      <c r="A821" t="s">
        <v>1282</v>
      </c>
      <c r="B821" t="s">
        <v>710</v>
      </c>
      <c r="C821" t="s">
        <v>742</v>
      </c>
      <c r="D821" t="s">
        <v>29</v>
      </c>
      <c r="E821" t="s">
        <v>54</v>
      </c>
      <c r="F821">
        <v>2</v>
      </c>
      <c r="G821">
        <v>7000</v>
      </c>
      <c r="H821" t="s">
        <v>116</v>
      </c>
      <c r="I821" t="str">
        <f>_xlfn.XLOOKUP(E821,'Products Master'!A:A,'Products Master'!B:B)</f>
        <v>Accessories</v>
      </c>
      <c r="J821">
        <f>_xlfn.XLOOKUP(E821,'Products Master'!A:A,'Products Master'!C:C)</f>
        <v>5000</v>
      </c>
      <c r="K821" t="str">
        <f>_xlfn.XLOOKUP(E821,'Products Master'!A:A,'Products Master'!D:D)</f>
        <v>Sony</v>
      </c>
      <c r="L821">
        <f t="shared" si="48"/>
        <v>14000</v>
      </c>
      <c r="M821">
        <f t="shared" si="49"/>
        <v>10000</v>
      </c>
      <c r="N821">
        <f t="shared" si="50"/>
        <v>4000</v>
      </c>
      <c r="O821" s="2">
        <f t="shared" si="51"/>
        <v>0.2857142857142857</v>
      </c>
    </row>
    <row r="822" spans="1:15">
      <c r="A822" t="s">
        <v>1283</v>
      </c>
      <c r="B822" t="s">
        <v>1198</v>
      </c>
      <c r="C822" t="s">
        <v>697</v>
      </c>
      <c r="D822" t="s">
        <v>34</v>
      </c>
      <c r="E822" t="s">
        <v>24</v>
      </c>
      <c r="F822">
        <v>4</v>
      </c>
      <c r="G822">
        <v>2500</v>
      </c>
      <c r="H822" t="s">
        <v>66</v>
      </c>
      <c r="I822" t="str">
        <f>_xlfn.XLOOKUP(E822,'Products Master'!A:A,'Products Master'!B:B)</f>
        <v>Accessories</v>
      </c>
      <c r="J822">
        <f>_xlfn.XLOOKUP(E822,'Products Master'!A:A,'Products Master'!C:C)</f>
        <v>1500</v>
      </c>
      <c r="K822" t="str">
        <f>_xlfn.XLOOKUP(E822,'Products Master'!A:A,'Products Master'!D:D)</f>
        <v>Logitech</v>
      </c>
      <c r="L822">
        <f t="shared" si="48"/>
        <v>10000</v>
      </c>
      <c r="M822">
        <f t="shared" si="49"/>
        <v>6000</v>
      </c>
      <c r="N822">
        <f t="shared" si="50"/>
        <v>4000</v>
      </c>
      <c r="O822" s="2">
        <f t="shared" si="51"/>
        <v>0.4</v>
      </c>
    </row>
    <row r="823" spans="1:15">
      <c r="A823" t="s">
        <v>1284</v>
      </c>
      <c r="B823" t="s">
        <v>813</v>
      </c>
      <c r="C823" t="s">
        <v>341</v>
      </c>
      <c r="D823" t="s">
        <v>23</v>
      </c>
      <c r="E823" t="s">
        <v>12</v>
      </c>
      <c r="F823">
        <v>5</v>
      </c>
      <c r="G823">
        <v>150000</v>
      </c>
      <c r="H823" t="s">
        <v>66</v>
      </c>
      <c r="I823" t="str">
        <f>_xlfn.XLOOKUP(E823,'Products Master'!A:A,'Products Master'!B:B)</f>
        <v>Electronics</v>
      </c>
      <c r="J823">
        <f>_xlfn.XLOOKUP(E823,'Products Master'!A:A,'Products Master'!C:C)</f>
        <v>120000</v>
      </c>
      <c r="K823" t="str">
        <f>_xlfn.XLOOKUP(E823,'Products Master'!A:A,'Products Master'!D:D)</f>
        <v>Dell</v>
      </c>
      <c r="L823">
        <f t="shared" si="48"/>
        <v>750000</v>
      </c>
      <c r="M823">
        <f t="shared" si="49"/>
        <v>600000</v>
      </c>
      <c r="N823">
        <f t="shared" si="50"/>
        <v>150000</v>
      </c>
      <c r="O823" s="2">
        <f t="shared" si="51"/>
        <v>0.2</v>
      </c>
    </row>
    <row r="824" spans="1:15">
      <c r="A824" t="s">
        <v>1285</v>
      </c>
      <c r="B824" t="s">
        <v>193</v>
      </c>
      <c r="C824" t="s">
        <v>134</v>
      </c>
      <c r="D824" t="s">
        <v>29</v>
      </c>
      <c r="E824" t="s">
        <v>54</v>
      </c>
      <c r="F824">
        <v>4</v>
      </c>
      <c r="G824">
        <v>7000</v>
      </c>
      <c r="H824" t="s">
        <v>36</v>
      </c>
      <c r="I824" t="str">
        <f>_xlfn.XLOOKUP(E824,'Products Master'!A:A,'Products Master'!B:B)</f>
        <v>Accessories</v>
      </c>
      <c r="J824">
        <f>_xlfn.XLOOKUP(E824,'Products Master'!A:A,'Products Master'!C:C)</f>
        <v>5000</v>
      </c>
      <c r="K824" t="str">
        <f>_xlfn.XLOOKUP(E824,'Products Master'!A:A,'Products Master'!D:D)</f>
        <v>Sony</v>
      </c>
      <c r="L824">
        <f t="shared" si="48"/>
        <v>28000</v>
      </c>
      <c r="M824">
        <f t="shared" si="49"/>
        <v>20000</v>
      </c>
      <c r="N824">
        <f t="shared" si="50"/>
        <v>8000</v>
      </c>
      <c r="O824" s="2">
        <f t="shared" si="51"/>
        <v>0.2857142857142857</v>
      </c>
    </row>
    <row r="825" spans="1:15">
      <c r="A825" t="s">
        <v>1286</v>
      </c>
      <c r="B825" t="s">
        <v>666</v>
      </c>
      <c r="C825" t="s">
        <v>536</v>
      </c>
      <c r="D825" t="s">
        <v>17</v>
      </c>
      <c r="E825" t="s">
        <v>18</v>
      </c>
      <c r="F825">
        <v>4</v>
      </c>
      <c r="G825">
        <v>45000</v>
      </c>
      <c r="H825" t="s">
        <v>50</v>
      </c>
      <c r="I825" t="str">
        <f>_xlfn.XLOOKUP(E825,'Products Master'!A:A,'Products Master'!B:B)</f>
        <v>Electronics</v>
      </c>
      <c r="J825">
        <f>_xlfn.XLOOKUP(E825,'Products Master'!A:A,'Products Master'!C:C)</f>
        <v>35000</v>
      </c>
      <c r="K825" t="str">
        <f>_xlfn.XLOOKUP(E825,'Products Master'!A:A,'Products Master'!D:D)</f>
        <v>HP</v>
      </c>
      <c r="L825">
        <f t="shared" si="48"/>
        <v>180000</v>
      </c>
      <c r="M825">
        <f t="shared" si="49"/>
        <v>140000</v>
      </c>
      <c r="N825">
        <f t="shared" si="50"/>
        <v>40000</v>
      </c>
      <c r="O825" s="2">
        <f t="shared" si="51"/>
        <v>0.22222222222222221</v>
      </c>
    </row>
    <row r="826" spans="1:15">
      <c r="A826" t="s">
        <v>1287</v>
      </c>
      <c r="B826" t="s">
        <v>637</v>
      </c>
      <c r="C826" t="s">
        <v>230</v>
      </c>
      <c r="D826" t="s">
        <v>17</v>
      </c>
      <c r="E826" t="s">
        <v>179</v>
      </c>
      <c r="F826">
        <v>5</v>
      </c>
      <c r="G826">
        <v>80000</v>
      </c>
      <c r="H826" t="s">
        <v>30</v>
      </c>
      <c r="I826" t="str">
        <f>_xlfn.XLOOKUP(E826,'Products Master'!A:A,'Products Master'!B:B)</f>
        <v>Electronics</v>
      </c>
      <c r="J826">
        <f>_xlfn.XLOOKUP(E826,'Products Master'!A:A,'Products Master'!C:C)</f>
        <v>65000</v>
      </c>
      <c r="K826" t="str">
        <f>_xlfn.XLOOKUP(E826,'Products Master'!A:A,'Products Master'!D:D)</f>
        <v>Samsung</v>
      </c>
      <c r="L826">
        <f t="shared" si="48"/>
        <v>400000</v>
      </c>
      <c r="M826">
        <f t="shared" si="49"/>
        <v>325000</v>
      </c>
      <c r="N826">
        <f t="shared" si="50"/>
        <v>75000</v>
      </c>
      <c r="O826" s="2">
        <f t="shared" si="51"/>
        <v>0.1875</v>
      </c>
    </row>
    <row r="827" spans="1:15">
      <c r="A827" t="s">
        <v>1288</v>
      </c>
      <c r="B827" t="s">
        <v>654</v>
      </c>
      <c r="C827" t="s">
        <v>127</v>
      </c>
      <c r="D827" t="s">
        <v>17</v>
      </c>
      <c r="E827" t="s">
        <v>54</v>
      </c>
      <c r="F827">
        <v>1</v>
      </c>
      <c r="G827">
        <v>7000</v>
      </c>
      <c r="H827" t="s">
        <v>116</v>
      </c>
      <c r="I827" t="str">
        <f>_xlfn.XLOOKUP(E827,'Products Master'!A:A,'Products Master'!B:B)</f>
        <v>Accessories</v>
      </c>
      <c r="J827">
        <f>_xlfn.XLOOKUP(E827,'Products Master'!A:A,'Products Master'!C:C)</f>
        <v>5000</v>
      </c>
      <c r="K827" t="str">
        <f>_xlfn.XLOOKUP(E827,'Products Master'!A:A,'Products Master'!D:D)</f>
        <v>Sony</v>
      </c>
      <c r="L827">
        <f t="shared" si="48"/>
        <v>7000</v>
      </c>
      <c r="M827">
        <f t="shared" si="49"/>
        <v>5000</v>
      </c>
      <c r="N827">
        <f t="shared" si="50"/>
        <v>2000</v>
      </c>
      <c r="O827" s="2">
        <f t="shared" si="51"/>
        <v>0.2857142857142857</v>
      </c>
    </row>
    <row r="828" spans="1:15">
      <c r="A828" t="s">
        <v>1289</v>
      </c>
      <c r="B828" t="s">
        <v>265</v>
      </c>
      <c r="C828" t="s">
        <v>299</v>
      </c>
      <c r="D828" t="s">
        <v>34</v>
      </c>
      <c r="E828" t="s">
        <v>54</v>
      </c>
      <c r="F828">
        <v>5</v>
      </c>
      <c r="G828">
        <v>7000</v>
      </c>
      <c r="H828" t="s">
        <v>13</v>
      </c>
      <c r="I828" t="str">
        <f>_xlfn.XLOOKUP(E828,'Products Master'!A:A,'Products Master'!B:B)</f>
        <v>Accessories</v>
      </c>
      <c r="J828">
        <f>_xlfn.XLOOKUP(E828,'Products Master'!A:A,'Products Master'!C:C)</f>
        <v>5000</v>
      </c>
      <c r="K828" t="str">
        <f>_xlfn.XLOOKUP(E828,'Products Master'!A:A,'Products Master'!D:D)</f>
        <v>Sony</v>
      </c>
      <c r="L828">
        <f t="shared" si="48"/>
        <v>35000</v>
      </c>
      <c r="M828">
        <f t="shared" si="49"/>
        <v>25000</v>
      </c>
      <c r="N828">
        <f t="shared" si="50"/>
        <v>10000</v>
      </c>
      <c r="O828" s="2">
        <f t="shared" si="51"/>
        <v>0.2857142857142857</v>
      </c>
    </row>
    <row r="829" spans="1:15">
      <c r="A829" t="s">
        <v>1290</v>
      </c>
      <c r="B829" t="s">
        <v>133</v>
      </c>
      <c r="C829" t="s">
        <v>137</v>
      </c>
      <c r="D829" t="s">
        <v>17</v>
      </c>
      <c r="E829" t="s">
        <v>54</v>
      </c>
      <c r="F829">
        <v>3</v>
      </c>
      <c r="G829">
        <v>7000</v>
      </c>
      <c r="H829" t="s">
        <v>30</v>
      </c>
      <c r="I829" t="str">
        <f>_xlfn.XLOOKUP(E829,'Products Master'!A:A,'Products Master'!B:B)</f>
        <v>Accessories</v>
      </c>
      <c r="J829">
        <f>_xlfn.XLOOKUP(E829,'Products Master'!A:A,'Products Master'!C:C)</f>
        <v>5000</v>
      </c>
      <c r="K829" t="str">
        <f>_xlfn.XLOOKUP(E829,'Products Master'!A:A,'Products Master'!D:D)</f>
        <v>Sony</v>
      </c>
      <c r="L829">
        <f t="shared" si="48"/>
        <v>21000</v>
      </c>
      <c r="M829">
        <f t="shared" si="49"/>
        <v>15000</v>
      </c>
      <c r="N829">
        <f t="shared" si="50"/>
        <v>6000</v>
      </c>
      <c r="O829" s="2">
        <f t="shared" si="51"/>
        <v>0.2857142857142857</v>
      </c>
    </row>
    <row r="830" spans="1:15">
      <c r="A830" t="s">
        <v>1291</v>
      </c>
      <c r="B830" t="s">
        <v>85</v>
      </c>
      <c r="C830" t="s">
        <v>74</v>
      </c>
      <c r="D830" t="s">
        <v>115</v>
      </c>
      <c r="E830" t="s">
        <v>179</v>
      </c>
      <c r="F830">
        <v>3</v>
      </c>
      <c r="G830">
        <v>80000</v>
      </c>
      <c r="H830" t="s">
        <v>95</v>
      </c>
      <c r="I830" t="str">
        <f>_xlfn.XLOOKUP(E830,'Products Master'!A:A,'Products Master'!B:B)</f>
        <v>Electronics</v>
      </c>
      <c r="J830">
        <f>_xlfn.XLOOKUP(E830,'Products Master'!A:A,'Products Master'!C:C)</f>
        <v>65000</v>
      </c>
      <c r="K830" t="str">
        <f>_xlfn.XLOOKUP(E830,'Products Master'!A:A,'Products Master'!D:D)</f>
        <v>Samsung</v>
      </c>
      <c r="L830">
        <f t="shared" si="48"/>
        <v>240000</v>
      </c>
      <c r="M830">
        <f t="shared" si="49"/>
        <v>195000</v>
      </c>
      <c r="N830">
        <f t="shared" si="50"/>
        <v>45000</v>
      </c>
      <c r="O830" s="2">
        <f t="shared" si="51"/>
        <v>0.1875</v>
      </c>
    </row>
    <row r="831" spans="1:15">
      <c r="A831" t="s">
        <v>1292</v>
      </c>
      <c r="B831" t="s">
        <v>787</v>
      </c>
      <c r="C831" t="s">
        <v>526</v>
      </c>
      <c r="D831" t="s">
        <v>23</v>
      </c>
      <c r="E831" t="s">
        <v>49</v>
      </c>
      <c r="F831">
        <v>1</v>
      </c>
      <c r="G831">
        <v>9500</v>
      </c>
      <c r="H831" t="s">
        <v>30</v>
      </c>
      <c r="I831" t="str">
        <f>_xlfn.XLOOKUP(E831,'Products Master'!A:A,'Products Master'!B:B)</f>
        <v>Accessories</v>
      </c>
      <c r="J831">
        <f>_xlfn.XLOOKUP(E831,'Products Master'!A:A,'Products Master'!C:C)</f>
        <v>7000</v>
      </c>
      <c r="K831" t="str">
        <f>_xlfn.XLOOKUP(E831,'Products Master'!A:A,'Products Master'!D:D)</f>
        <v>Logitech</v>
      </c>
      <c r="L831">
        <f t="shared" si="48"/>
        <v>9500</v>
      </c>
      <c r="M831">
        <f t="shared" si="49"/>
        <v>7000</v>
      </c>
      <c r="N831">
        <f t="shared" si="50"/>
        <v>2500</v>
      </c>
      <c r="O831" s="2">
        <f t="shared" si="51"/>
        <v>0.26315789473684209</v>
      </c>
    </row>
    <row r="832" spans="1:15">
      <c r="A832" t="s">
        <v>1293</v>
      </c>
      <c r="B832" t="s">
        <v>386</v>
      </c>
      <c r="C832" t="s">
        <v>466</v>
      </c>
      <c r="D832" t="s">
        <v>17</v>
      </c>
      <c r="E832" t="s">
        <v>179</v>
      </c>
      <c r="F832">
        <v>3</v>
      </c>
      <c r="G832">
        <v>80000</v>
      </c>
      <c r="H832" t="s">
        <v>36</v>
      </c>
      <c r="I832" t="str">
        <f>_xlfn.XLOOKUP(E832,'Products Master'!A:A,'Products Master'!B:B)</f>
        <v>Electronics</v>
      </c>
      <c r="J832">
        <f>_xlfn.XLOOKUP(E832,'Products Master'!A:A,'Products Master'!C:C)</f>
        <v>65000</v>
      </c>
      <c r="K832" t="str">
        <f>_xlfn.XLOOKUP(E832,'Products Master'!A:A,'Products Master'!D:D)</f>
        <v>Samsung</v>
      </c>
      <c r="L832">
        <f t="shared" si="48"/>
        <v>240000</v>
      </c>
      <c r="M832">
        <f t="shared" si="49"/>
        <v>195000</v>
      </c>
      <c r="N832">
        <f t="shared" si="50"/>
        <v>45000</v>
      </c>
      <c r="O832" s="2">
        <f t="shared" si="51"/>
        <v>0.1875</v>
      </c>
    </row>
    <row r="833" spans="1:15">
      <c r="A833" t="s">
        <v>1294</v>
      </c>
      <c r="B833" t="s">
        <v>216</v>
      </c>
      <c r="C833" t="s">
        <v>110</v>
      </c>
      <c r="D833" t="s">
        <v>115</v>
      </c>
      <c r="E833" t="s">
        <v>179</v>
      </c>
      <c r="F833">
        <v>2</v>
      </c>
      <c r="G833">
        <v>80000</v>
      </c>
      <c r="H833" t="s">
        <v>30</v>
      </c>
      <c r="I833" t="str">
        <f>_xlfn.XLOOKUP(E833,'Products Master'!A:A,'Products Master'!B:B)</f>
        <v>Electronics</v>
      </c>
      <c r="J833">
        <f>_xlfn.XLOOKUP(E833,'Products Master'!A:A,'Products Master'!C:C)</f>
        <v>65000</v>
      </c>
      <c r="K833" t="str">
        <f>_xlfn.XLOOKUP(E833,'Products Master'!A:A,'Products Master'!D:D)</f>
        <v>Samsung</v>
      </c>
      <c r="L833">
        <f t="shared" si="48"/>
        <v>160000</v>
      </c>
      <c r="M833">
        <f t="shared" si="49"/>
        <v>130000</v>
      </c>
      <c r="N833">
        <f t="shared" si="50"/>
        <v>30000</v>
      </c>
      <c r="O833" s="2">
        <f t="shared" si="51"/>
        <v>0.1875</v>
      </c>
    </row>
    <row r="834" spans="1:15">
      <c r="A834" t="s">
        <v>1295</v>
      </c>
      <c r="B834" t="s">
        <v>417</v>
      </c>
      <c r="C834" t="s">
        <v>294</v>
      </c>
      <c r="D834" t="s">
        <v>34</v>
      </c>
      <c r="E834" t="s">
        <v>54</v>
      </c>
      <c r="F834">
        <v>4</v>
      </c>
      <c r="G834">
        <v>7000</v>
      </c>
      <c r="H834" t="s">
        <v>13</v>
      </c>
      <c r="I834" t="str">
        <f>_xlfn.XLOOKUP(E834,'Products Master'!A:A,'Products Master'!B:B)</f>
        <v>Accessories</v>
      </c>
      <c r="J834">
        <f>_xlfn.XLOOKUP(E834,'Products Master'!A:A,'Products Master'!C:C)</f>
        <v>5000</v>
      </c>
      <c r="K834" t="str">
        <f>_xlfn.XLOOKUP(E834,'Products Master'!A:A,'Products Master'!D:D)</f>
        <v>Sony</v>
      </c>
      <c r="L834">
        <f t="shared" si="48"/>
        <v>28000</v>
      </c>
      <c r="M834">
        <f t="shared" si="49"/>
        <v>20000</v>
      </c>
      <c r="N834">
        <f t="shared" si="50"/>
        <v>8000</v>
      </c>
      <c r="O834" s="2">
        <f t="shared" si="51"/>
        <v>0.2857142857142857</v>
      </c>
    </row>
    <row r="835" spans="1:15">
      <c r="A835" t="s">
        <v>1296</v>
      </c>
      <c r="B835" t="s">
        <v>604</v>
      </c>
      <c r="C835" t="s">
        <v>742</v>
      </c>
      <c r="D835" t="s">
        <v>11</v>
      </c>
      <c r="E835" t="s">
        <v>99</v>
      </c>
      <c r="F835">
        <v>4</v>
      </c>
      <c r="G835">
        <v>5000</v>
      </c>
      <c r="H835" t="s">
        <v>30</v>
      </c>
      <c r="I835" t="str">
        <f>_xlfn.XLOOKUP(E835,'Products Master'!A:A,'Products Master'!B:B)</f>
        <v>Accessories</v>
      </c>
      <c r="J835">
        <f>_xlfn.XLOOKUP(E835,'Products Master'!A:A,'Products Master'!C:C)</f>
        <v>3500</v>
      </c>
      <c r="K835" t="str">
        <f>_xlfn.XLOOKUP(E835,'Products Master'!A:A,'Products Master'!D:D)</f>
        <v>Logitech</v>
      </c>
      <c r="L835">
        <f t="shared" ref="L835:L898" si="52">F835*G835</f>
        <v>20000</v>
      </c>
      <c r="M835">
        <f t="shared" ref="M835:M898" si="53">F835*J835</f>
        <v>14000</v>
      </c>
      <c r="N835">
        <f t="shared" ref="N835:N898" si="54">L835-M835</f>
        <v>6000</v>
      </c>
      <c r="O835" s="2">
        <f t="shared" ref="O835:O898" si="55">N835/L835</f>
        <v>0.3</v>
      </c>
    </row>
    <row r="836" spans="1:15">
      <c r="A836" t="s">
        <v>1297</v>
      </c>
      <c r="B836" t="s">
        <v>936</v>
      </c>
      <c r="C836" t="s">
        <v>375</v>
      </c>
      <c r="D836" t="s">
        <v>17</v>
      </c>
      <c r="E836" t="s">
        <v>49</v>
      </c>
      <c r="F836">
        <v>5</v>
      </c>
      <c r="G836">
        <v>9500</v>
      </c>
      <c r="H836" t="s">
        <v>25</v>
      </c>
      <c r="I836" t="str">
        <f>_xlfn.XLOOKUP(E836,'Products Master'!A:A,'Products Master'!B:B)</f>
        <v>Accessories</v>
      </c>
      <c r="J836">
        <f>_xlfn.XLOOKUP(E836,'Products Master'!A:A,'Products Master'!C:C)</f>
        <v>7000</v>
      </c>
      <c r="K836" t="str">
        <f>_xlfn.XLOOKUP(E836,'Products Master'!A:A,'Products Master'!D:D)</f>
        <v>Logitech</v>
      </c>
      <c r="L836">
        <f t="shared" si="52"/>
        <v>47500</v>
      </c>
      <c r="M836">
        <f t="shared" si="53"/>
        <v>35000</v>
      </c>
      <c r="N836">
        <f t="shared" si="54"/>
        <v>12500</v>
      </c>
      <c r="O836" s="2">
        <f t="shared" si="55"/>
        <v>0.26315789473684209</v>
      </c>
    </row>
    <row r="837" spans="1:15">
      <c r="A837" t="s">
        <v>1298</v>
      </c>
      <c r="B837" t="s">
        <v>606</v>
      </c>
      <c r="C837" t="s">
        <v>176</v>
      </c>
      <c r="D837" t="s">
        <v>45</v>
      </c>
      <c r="E837" t="s">
        <v>49</v>
      </c>
      <c r="F837">
        <v>2</v>
      </c>
      <c r="G837">
        <v>9500</v>
      </c>
      <c r="H837" t="s">
        <v>19</v>
      </c>
      <c r="I837" t="str">
        <f>_xlfn.XLOOKUP(E837,'Products Master'!A:A,'Products Master'!B:B)</f>
        <v>Accessories</v>
      </c>
      <c r="J837">
        <f>_xlfn.XLOOKUP(E837,'Products Master'!A:A,'Products Master'!C:C)</f>
        <v>7000</v>
      </c>
      <c r="K837" t="str">
        <f>_xlfn.XLOOKUP(E837,'Products Master'!A:A,'Products Master'!D:D)</f>
        <v>Logitech</v>
      </c>
      <c r="L837">
        <f t="shared" si="52"/>
        <v>19000</v>
      </c>
      <c r="M837">
        <f t="shared" si="53"/>
        <v>14000</v>
      </c>
      <c r="N837">
        <f t="shared" si="54"/>
        <v>5000</v>
      </c>
      <c r="O837" s="2">
        <f t="shared" si="55"/>
        <v>0.26315789473684209</v>
      </c>
    </row>
    <row r="838" spans="1:15">
      <c r="A838" t="s">
        <v>1299</v>
      </c>
      <c r="B838" t="s">
        <v>1300</v>
      </c>
      <c r="C838" t="s">
        <v>107</v>
      </c>
      <c r="D838" t="s">
        <v>11</v>
      </c>
      <c r="E838" t="s">
        <v>99</v>
      </c>
      <c r="F838">
        <v>4</v>
      </c>
      <c r="G838">
        <v>5000</v>
      </c>
      <c r="H838" t="s">
        <v>66</v>
      </c>
      <c r="I838" t="str">
        <f>_xlfn.XLOOKUP(E838,'Products Master'!A:A,'Products Master'!B:B)</f>
        <v>Accessories</v>
      </c>
      <c r="J838">
        <f>_xlfn.XLOOKUP(E838,'Products Master'!A:A,'Products Master'!C:C)</f>
        <v>3500</v>
      </c>
      <c r="K838" t="str">
        <f>_xlfn.XLOOKUP(E838,'Products Master'!A:A,'Products Master'!D:D)</f>
        <v>Logitech</v>
      </c>
      <c r="L838">
        <f t="shared" si="52"/>
        <v>20000</v>
      </c>
      <c r="M838">
        <f t="shared" si="53"/>
        <v>14000</v>
      </c>
      <c r="N838">
        <f t="shared" si="54"/>
        <v>6000</v>
      </c>
      <c r="O838" s="2">
        <f t="shared" si="55"/>
        <v>0.3</v>
      </c>
    </row>
    <row r="839" spans="1:15">
      <c r="A839" t="s">
        <v>1301</v>
      </c>
      <c r="B839" t="s">
        <v>1061</v>
      </c>
      <c r="C839" t="s">
        <v>110</v>
      </c>
      <c r="D839" t="s">
        <v>45</v>
      </c>
      <c r="E839" t="s">
        <v>124</v>
      </c>
      <c r="F839">
        <v>2</v>
      </c>
      <c r="G839">
        <v>18000</v>
      </c>
      <c r="H839" t="s">
        <v>13</v>
      </c>
      <c r="I839" t="str">
        <f>_xlfn.XLOOKUP(E839,'Products Master'!A:A,'Products Master'!B:B)</f>
        <v>Storage</v>
      </c>
      <c r="J839">
        <f>_xlfn.XLOOKUP(E839,'Products Master'!A:A,'Products Master'!C:C)</f>
        <v>12000</v>
      </c>
      <c r="K839" t="str">
        <f>_xlfn.XLOOKUP(E839,'Products Master'!A:A,'Products Master'!D:D)</f>
        <v>Kingston</v>
      </c>
      <c r="L839">
        <f t="shared" si="52"/>
        <v>36000</v>
      </c>
      <c r="M839">
        <f t="shared" si="53"/>
        <v>24000</v>
      </c>
      <c r="N839">
        <f t="shared" si="54"/>
        <v>12000</v>
      </c>
      <c r="O839" s="2">
        <f t="shared" si="55"/>
        <v>0.33333333333333331</v>
      </c>
    </row>
    <row r="840" spans="1:15">
      <c r="A840" t="s">
        <v>1302</v>
      </c>
      <c r="B840" t="s">
        <v>56</v>
      </c>
      <c r="C840" t="s">
        <v>254</v>
      </c>
      <c r="D840" t="s">
        <v>29</v>
      </c>
      <c r="E840" t="s">
        <v>12</v>
      </c>
      <c r="F840">
        <v>5</v>
      </c>
      <c r="G840">
        <v>150000</v>
      </c>
      <c r="H840" t="s">
        <v>19</v>
      </c>
      <c r="I840" t="str">
        <f>_xlfn.XLOOKUP(E840,'Products Master'!A:A,'Products Master'!B:B)</f>
        <v>Electronics</v>
      </c>
      <c r="J840">
        <f>_xlfn.XLOOKUP(E840,'Products Master'!A:A,'Products Master'!C:C)</f>
        <v>120000</v>
      </c>
      <c r="K840" t="str">
        <f>_xlfn.XLOOKUP(E840,'Products Master'!A:A,'Products Master'!D:D)</f>
        <v>Dell</v>
      </c>
      <c r="L840">
        <f t="shared" si="52"/>
        <v>750000</v>
      </c>
      <c r="M840">
        <f t="shared" si="53"/>
        <v>600000</v>
      </c>
      <c r="N840">
        <f t="shared" si="54"/>
        <v>150000</v>
      </c>
      <c r="O840" s="2">
        <f t="shared" si="55"/>
        <v>0.2</v>
      </c>
    </row>
    <row r="841" spans="1:15">
      <c r="A841" t="s">
        <v>1303</v>
      </c>
      <c r="B841" t="s">
        <v>530</v>
      </c>
      <c r="C841" t="s">
        <v>370</v>
      </c>
      <c r="D841" t="s">
        <v>23</v>
      </c>
      <c r="E841" t="s">
        <v>18</v>
      </c>
      <c r="F841">
        <v>4</v>
      </c>
      <c r="G841">
        <v>45000</v>
      </c>
      <c r="H841" t="s">
        <v>41</v>
      </c>
      <c r="I841" t="str">
        <f>_xlfn.XLOOKUP(E841,'Products Master'!A:A,'Products Master'!B:B)</f>
        <v>Electronics</v>
      </c>
      <c r="J841">
        <f>_xlfn.XLOOKUP(E841,'Products Master'!A:A,'Products Master'!C:C)</f>
        <v>35000</v>
      </c>
      <c r="K841" t="str">
        <f>_xlfn.XLOOKUP(E841,'Products Master'!A:A,'Products Master'!D:D)</f>
        <v>HP</v>
      </c>
      <c r="L841">
        <f t="shared" si="52"/>
        <v>180000</v>
      </c>
      <c r="M841">
        <f t="shared" si="53"/>
        <v>140000</v>
      </c>
      <c r="N841">
        <f t="shared" si="54"/>
        <v>40000</v>
      </c>
      <c r="O841" s="2">
        <f t="shared" si="55"/>
        <v>0.22222222222222221</v>
      </c>
    </row>
    <row r="842" spans="1:15">
      <c r="A842" t="s">
        <v>1304</v>
      </c>
      <c r="B842" t="s">
        <v>922</v>
      </c>
      <c r="C842" t="s">
        <v>147</v>
      </c>
      <c r="D842" t="s">
        <v>111</v>
      </c>
      <c r="E842" t="s">
        <v>99</v>
      </c>
      <c r="F842">
        <v>5</v>
      </c>
      <c r="G842">
        <v>5000</v>
      </c>
      <c r="H842" t="s">
        <v>25</v>
      </c>
      <c r="I842" t="str">
        <f>_xlfn.XLOOKUP(E842,'Products Master'!A:A,'Products Master'!B:B)</f>
        <v>Accessories</v>
      </c>
      <c r="J842">
        <f>_xlfn.XLOOKUP(E842,'Products Master'!A:A,'Products Master'!C:C)</f>
        <v>3500</v>
      </c>
      <c r="K842" t="str">
        <f>_xlfn.XLOOKUP(E842,'Products Master'!A:A,'Products Master'!D:D)</f>
        <v>Logitech</v>
      </c>
      <c r="L842">
        <f t="shared" si="52"/>
        <v>25000</v>
      </c>
      <c r="M842">
        <f t="shared" si="53"/>
        <v>17500</v>
      </c>
      <c r="N842">
        <f t="shared" si="54"/>
        <v>7500</v>
      </c>
      <c r="O842" s="2">
        <f t="shared" si="55"/>
        <v>0.3</v>
      </c>
    </row>
    <row r="843" spans="1:15">
      <c r="A843" t="s">
        <v>1305</v>
      </c>
      <c r="B843" t="s">
        <v>848</v>
      </c>
      <c r="C843" t="s">
        <v>69</v>
      </c>
      <c r="D843" t="s">
        <v>45</v>
      </c>
      <c r="E843" t="s">
        <v>40</v>
      </c>
      <c r="F843">
        <v>5</v>
      </c>
      <c r="G843">
        <v>60000</v>
      </c>
      <c r="H843" t="s">
        <v>41</v>
      </c>
      <c r="I843" t="str">
        <f>_xlfn.XLOOKUP(E843,'Products Master'!A:A,'Products Master'!B:B)</f>
        <v>Electronics</v>
      </c>
      <c r="J843">
        <f>_xlfn.XLOOKUP(E843,'Products Master'!A:A,'Products Master'!C:C)</f>
        <v>50000</v>
      </c>
      <c r="K843" t="str">
        <f>_xlfn.XLOOKUP(E843,'Products Master'!A:A,'Products Master'!D:D)</f>
        <v>LG</v>
      </c>
      <c r="L843">
        <f t="shared" si="52"/>
        <v>300000</v>
      </c>
      <c r="M843">
        <f t="shared" si="53"/>
        <v>250000</v>
      </c>
      <c r="N843">
        <f t="shared" si="54"/>
        <v>50000</v>
      </c>
      <c r="O843" s="2">
        <f t="shared" si="55"/>
        <v>0.16666666666666666</v>
      </c>
    </row>
    <row r="844" spans="1:15">
      <c r="A844" t="s">
        <v>1306</v>
      </c>
      <c r="B844" t="s">
        <v>262</v>
      </c>
      <c r="C844" t="s">
        <v>330</v>
      </c>
      <c r="D844" t="s">
        <v>23</v>
      </c>
      <c r="E844" t="s">
        <v>49</v>
      </c>
      <c r="F844">
        <v>1</v>
      </c>
      <c r="G844">
        <v>9500</v>
      </c>
      <c r="H844" t="s">
        <v>25</v>
      </c>
      <c r="I844" t="str">
        <f>_xlfn.XLOOKUP(E844,'Products Master'!A:A,'Products Master'!B:B)</f>
        <v>Accessories</v>
      </c>
      <c r="J844">
        <f>_xlfn.XLOOKUP(E844,'Products Master'!A:A,'Products Master'!C:C)</f>
        <v>7000</v>
      </c>
      <c r="K844" t="str">
        <f>_xlfn.XLOOKUP(E844,'Products Master'!A:A,'Products Master'!D:D)</f>
        <v>Logitech</v>
      </c>
      <c r="L844">
        <f t="shared" si="52"/>
        <v>9500</v>
      </c>
      <c r="M844">
        <f t="shared" si="53"/>
        <v>7000</v>
      </c>
      <c r="N844">
        <f t="shared" si="54"/>
        <v>2500</v>
      </c>
      <c r="O844" s="2">
        <f t="shared" si="55"/>
        <v>0.26315789473684209</v>
      </c>
    </row>
    <row r="845" spans="1:15">
      <c r="A845" t="s">
        <v>1307</v>
      </c>
      <c r="B845" t="s">
        <v>245</v>
      </c>
      <c r="C845" t="s">
        <v>159</v>
      </c>
      <c r="D845" t="s">
        <v>11</v>
      </c>
      <c r="E845" t="s">
        <v>12</v>
      </c>
      <c r="F845">
        <v>2</v>
      </c>
      <c r="G845">
        <v>150000</v>
      </c>
      <c r="H845" t="s">
        <v>50</v>
      </c>
      <c r="I845" t="str">
        <f>_xlfn.XLOOKUP(E845,'Products Master'!A:A,'Products Master'!B:B)</f>
        <v>Electronics</v>
      </c>
      <c r="J845">
        <f>_xlfn.XLOOKUP(E845,'Products Master'!A:A,'Products Master'!C:C)</f>
        <v>120000</v>
      </c>
      <c r="K845" t="str">
        <f>_xlfn.XLOOKUP(E845,'Products Master'!A:A,'Products Master'!D:D)</f>
        <v>Dell</v>
      </c>
      <c r="L845">
        <f t="shared" si="52"/>
        <v>300000</v>
      </c>
      <c r="M845">
        <f t="shared" si="53"/>
        <v>240000</v>
      </c>
      <c r="N845">
        <f t="shared" si="54"/>
        <v>60000</v>
      </c>
      <c r="O845" s="2">
        <f t="shared" si="55"/>
        <v>0.2</v>
      </c>
    </row>
    <row r="846" spans="1:15">
      <c r="A846" t="s">
        <v>1308</v>
      </c>
      <c r="B846" t="s">
        <v>453</v>
      </c>
      <c r="C846" t="s">
        <v>375</v>
      </c>
      <c r="D846" t="s">
        <v>34</v>
      </c>
      <c r="E846" t="s">
        <v>35</v>
      </c>
      <c r="F846">
        <v>4</v>
      </c>
      <c r="G846">
        <v>2000</v>
      </c>
      <c r="H846" t="s">
        <v>19</v>
      </c>
      <c r="I846" t="str">
        <f>_xlfn.XLOOKUP(E846,'Products Master'!A:A,'Products Master'!B:B)</f>
        <v>Storage</v>
      </c>
      <c r="J846">
        <f>_xlfn.XLOOKUP(E846,'Products Master'!A:A,'Products Master'!C:C)</f>
        <v>1200</v>
      </c>
      <c r="K846" t="str">
        <f>_xlfn.XLOOKUP(E846,'Products Master'!A:A,'Products Master'!D:D)</f>
        <v>SanDisk</v>
      </c>
      <c r="L846">
        <f t="shared" si="52"/>
        <v>8000</v>
      </c>
      <c r="M846">
        <f t="shared" si="53"/>
        <v>4800</v>
      </c>
      <c r="N846">
        <f t="shared" si="54"/>
        <v>3200</v>
      </c>
      <c r="O846" s="2">
        <f t="shared" si="55"/>
        <v>0.4</v>
      </c>
    </row>
    <row r="847" spans="1:15">
      <c r="A847" t="s">
        <v>1309</v>
      </c>
      <c r="B847" t="s">
        <v>1064</v>
      </c>
      <c r="C847" t="s">
        <v>48</v>
      </c>
      <c r="D847" t="s">
        <v>45</v>
      </c>
      <c r="E847" t="s">
        <v>18</v>
      </c>
      <c r="F847">
        <v>4</v>
      </c>
      <c r="G847">
        <v>45000</v>
      </c>
      <c r="H847" t="s">
        <v>41</v>
      </c>
      <c r="I847" t="str">
        <f>_xlfn.XLOOKUP(E847,'Products Master'!A:A,'Products Master'!B:B)</f>
        <v>Electronics</v>
      </c>
      <c r="J847">
        <f>_xlfn.XLOOKUP(E847,'Products Master'!A:A,'Products Master'!C:C)</f>
        <v>35000</v>
      </c>
      <c r="K847" t="str">
        <f>_xlfn.XLOOKUP(E847,'Products Master'!A:A,'Products Master'!D:D)</f>
        <v>HP</v>
      </c>
      <c r="L847">
        <f t="shared" si="52"/>
        <v>180000</v>
      </c>
      <c r="M847">
        <f t="shared" si="53"/>
        <v>140000</v>
      </c>
      <c r="N847">
        <f t="shared" si="54"/>
        <v>40000</v>
      </c>
      <c r="O847" s="2">
        <f t="shared" si="55"/>
        <v>0.22222222222222221</v>
      </c>
    </row>
    <row r="848" spans="1:15">
      <c r="A848" t="s">
        <v>1310</v>
      </c>
      <c r="B848" t="s">
        <v>161</v>
      </c>
      <c r="C848" t="s">
        <v>201</v>
      </c>
      <c r="D848" t="s">
        <v>115</v>
      </c>
      <c r="E848" t="s">
        <v>99</v>
      </c>
      <c r="F848">
        <v>4</v>
      </c>
      <c r="G848">
        <v>5000</v>
      </c>
      <c r="H848" t="s">
        <v>19</v>
      </c>
      <c r="I848" t="str">
        <f>_xlfn.XLOOKUP(E848,'Products Master'!A:A,'Products Master'!B:B)</f>
        <v>Accessories</v>
      </c>
      <c r="J848">
        <f>_xlfn.XLOOKUP(E848,'Products Master'!A:A,'Products Master'!C:C)</f>
        <v>3500</v>
      </c>
      <c r="K848" t="str">
        <f>_xlfn.XLOOKUP(E848,'Products Master'!A:A,'Products Master'!D:D)</f>
        <v>Logitech</v>
      </c>
      <c r="L848">
        <f t="shared" si="52"/>
        <v>20000</v>
      </c>
      <c r="M848">
        <f t="shared" si="53"/>
        <v>14000</v>
      </c>
      <c r="N848">
        <f t="shared" si="54"/>
        <v>6000</v>
      </c>
      <c r="O848" s="2">
        <f t="shared" si="55"/>
        <v>0.3</v>
      </c>
    </row>
    <row r="849" spans="1:15">
      <c r="A849" t="s">
        <v>1311</v>
      </c>
      <c r="B849" t="s">
        <v>434</v>
      </c>
      <c r="C849" t="s">
        <v>536</v>
      </c>
      <c r="D849" t="s">
        <v>23</v>
      </c>
      <c r="E849" t="s">
        <v>179</v>
      </c>
      <c r="F849">
        <v>1</v>
      </c>
      <c r="G849">
        <v>80000</v>
      </c>
      <c r="H849" t="s">
        <v>30</v>
      </c>
      <c r="I849" t="str">
        <f>_xlfn.XLOOKUP(E849,'Products Master'!A:A,'Products Master'!B:B)</f>
        <v>Electronics</v>
      </c>
      <c r="J849">
        <f>_xlfn.XLOOKUP(E849,'Products Master'!A:A,'Products Master'!C:C)</f>
        <v>65000</v>
      </c>
      <c r="K849" t="str">
        <f>_xlfn.XLOOKUP(E849,'Products Master'!A:A,'Products Master'!D:D)</f>
        <v>Samsung</v>
      </c>
      <c r="L849">
        <f t="shared" si="52"/>
        <v>80000</v>
      </c>
      <c r="M849">
        <f t="shared" si="53"/>
        <v>65000</v>
      </c>
      <c r="N849">
        <f t="shared" si="54"/>
        <v>15000</v>
      </c>
      <c r="O849" s="2">
        <f t="shared" si="55"/>
        <v>0.1875</v>
      </c>
    </row>
    <row r="850" spans="1:15">
      <c r="A850" t="s">
        <v>1312</v>
      </c>
      <c r="B850" t="s">
        <v>685</v>
      </c>
      <c r="C850" t="s">
        <v>156</v>
      </c>
      <c r="D850" t="s">
        <v>29</v>
      </c>
      <c r="E850" t="s">
        <v>99</v>
      </c>
      <c r="F850">
        <v>2</v>
      </c>
      <c r="G850">
        <v>5000</v>
      </c>
      <c r="H850" t="s">
        <v>19</v>
      </c>
      <c r="I850" t="str">
        <f>_xlfn.XLOOKUP(E850,'Products Master'!A:A,'Products Master'!B:B)</f>
        <v>Accessories</v>
      </c>
      <c r="J850">
        <f>_xlfn.XLOOKUP(E850,'Products Master'!A:A,'Products Master'!C:C)</f>
        <v>3500</v>
      </c>
      <c r="K850" t="str">
        <f>_xlfn.XLOOKUP(E850,'Products Master'!A:A,'Products Master'!D:D)</f>
        <v>Logitech</v>
      </c>
      <c r="L850">
        <f t="shared" si="52"/>
        <v>10000</v>
      </c>
      <c r="M850">
        <f t="shared" si="53"/>
        <v>7000</v>
      </c>
      <c r="N850">
        <f t="shared" si="54"/>
        <v>3000</v>
      </c>
      <c r="O850" s="2">
        <f t="shared" si="55"/>
        <v>0.3</v>
      </c>
    </row>
    <row r="851" spans="1:15">
      <c r="A851" t="s">
        <v>1313</v>
      </c>
      <c r="B851" t="s">
        <v>635</v>
      </c>
      <c r="C851" t="s">
        <v>107</v>
      </c>
      <c r="D851" t="s">
        <v>115</v>
      </c>
      <c r="E851" t="s">
        <v>24</v>
      </c>
      <c r="F851">
        <v>1</v>
      </c>
      <c r="G851">
        <v>2500</v>
      </c>
      <c r="H851" t="s">
        <v>19</v>
      </c>
      <c r="I851" t="str">
        <f>_xlfn.XLOOKUP(E851,'Products Master'!A:A,'Products Master'!B:B)</f>
        <v>Accessories</v>
      </c>
      <c r="J851">
        <f>_xlfn.XLOOKUP(E851,'Products Master'!A:A,'Products Master'!C:C)</f>
        <v>1500</v>
      </c>
      <c r="K851" t="str">
        <f>_xlfn.XLOOKUP(E851,'Products Master'!A:A,'Products Master'!D:D)</f>
        <v>Logitech</v>
      </c>
      <c r="L851">
        <f t="shared" si="52"/>
        <v>2500</v>
      </c>
      <c r="M851">
        <f t="shared" si="53"/>
        <v>1500</v>
      </c>
      <c r="N851">
        <f t="shared" si="54"/>
        <v>1000</v>
      </c>
      <c r="O851" s="2">
        <f t="shared" si="55"/>
        <v>0.4</v>
      </c>
    </row>
    <row r="852" spans="1:15">
      <c r="A852" t="s">
        <v>1314</v>
      </c>
      <c r="B852" t="s">
        <v>994</v>
      </c>
      <c r="C852" t="s">
        <v>491</v>
      </c>
      <c r="D852" t="s">
        <v>11</v>
      </c>
      <c r="E852" t="s">
        <v>124</v>
      </c>
      <c r="F852">
        <v>4</v>
      </c>
      <c r="G852">
        <v>18000</v>
      </c>
      <c r="H852" t="s">
        <v>25</v>
      </c>
      <c r="I852" t="str">
        <f>_xlfn.XLOOKUP(E852,'Products Master'!A:A,'Products Master'!B:B)</f>
        <v>Storage</v>
      </c>
      <c r="J852">
        <f>_xlfn.XLOOKUP(E852,'Products Master'!A:A,'Products Master'!C:C)</f>
        <v>12000</v>
      </c>
      <c r="K852" t="str">
        <f>_xlfn.XLOOKUP(E852,'Products Master'!A:A,'Products Master'!D:D)</f>
        <v>Kingston</v>
      </c>
      <c r="L852">
        <f t="shared" si="52"/>
        <v>72000</v>
      </c>
      <c r="M852">
        <f t="shared" si="53"/>
        <v>48000</v>
      </c>
      <c r="N852">
        <f t="shared" si="54"/>
        <v>24000</v>
      </c>
      <c r="O852" s="2">
        <f t="shared" si="55"/>
        <v>0.33333333333333331</v>
      </c>
    </row>
    <row r="853" spans="1:15">
      <c r="A853" t="s">
        <v>1315</v>
      </c>
      <c r="B853" t="s">
        <v>739</v>
      </c>
      <c r="C853" t="s">
        <v>370</v>
      </c>
      <c r="D853" t="s">
        <v>11</v>
      </c>
      <c r="E853" t="s">
        <v>12</v>
      </c>
      <c r="F853">
        <v>2</v>
      </c>
      <c r="G853">
        <v>150000</v>
      </c>
      <c r="H853" t="s">
        <v>95</v>
      </c>
      <c r="I853" t="str">
        <f>_xlfn.XLOOKUP(E853,'Products Master'!A:A,'Products Master'!B:B)</f>
        <v>Electronics</v>
      </c>
      <c r="J853">
        <f>_xlfn.XLOOKUP(E853,'Products Master'!A:A,'Products Master'!C:C)</f>
        <v>120000</v>
      </c>
      <c r="K853" t="str">
        <f>_xlfn.XLOOKUP(E853,'Products Master'!A:A,'Products Master'!D:D)</f>
        <v>Dell</v>
      </c>
      <c r="L853">
        <f t="shared" si="52"/>
        <v>300000</v>
      </c>
      <c r="M853">
        <f t="shared" si="53"/>
        <v>240000</v>
      </c>
      <c r="N853">
        <f t="shared" si="54"/>
        <v>60000</v>
      </c>
      <c r="O853" s="2">
        <f t="shared" si="55"/>
        <v>0.2</v>
      </c>
    </row>
    <row r="854" spans="1:15">
      <c r="A854" t="s">
        <v>1316</v>
      </c>
      <c r="B854" t="s">
        <v>722</v>
      </c>
      <c r="C854" t="s">
        <v>162</v>
      </c>
      <c r="D854" t="s">
        <v>115</v>
      </c>
      <c r="E854" t="s">
        <v>24</v>
      </c>
      <c r="F854">
        <v>3</v>
      </c>
      <c r="G854">
        <v>2500</v>
      </c>
      <c r="H854" t="s">
        <v>41</v>
      </c>
      <c r="I854" t="str">
        <f>_xlfn.XLOOKUP(E854,'Products Master'!A:A,'Products Master'!B:B)</f>
        <v>Accessories</v>
      </c>
      <c r="J854">
        <f>_xlfn.XLOOKUP(E854,'Products Master'!A:A,'Products Master'!C:C)</f>
        <v>1500</v>
      </c>
      <c r="K854" t="str">
        <f>_xlfn.XLOOKUP(E854,'Products Master'!A:A,'Products Master'!D:D)</f>
        <v>Logitech</v>
      </c>
      <c r="L854">
        <f t="shared" si="52"/>
        <v>7500</v>
      </c>
      <c r="M854">
        <f t="shared" si="53"/>
        <v>4500</v>
      </c>
      <c r="N854">
        <f t="shared" si="54"/>
        <v>3000</v>
      </c>
      <c r="O854" s="2">
        <f t="shared" si="55"/>
        <v>0.4</v>
      </c>
    </row>
    <row r="855" spans="1:15">
      <c r="A855" t="s">
        <v>1317</v>
      </c>
      <c r="B855" t="s">
        <v>787</v>
      </c>
      <c r="C855" t="s">
        <v>346</v>
      </c>
      <c r="D855" t="s">
        <v>45</v>
      </c>
      <c r="E855" t="s">
        <v>18</v>
      </c>
      <c r="F855">
        <v>5</v>
      </c>
      <c r="G855">
        <v>45000</v>
      </c>
      <c r="H855" t="s">
        <v>25</v>
      </c>
      <c r="I855" t="str">
        <f>_xlfn.XLOOKUP(E855,'Products Master'!A:A,'Products Master'!B:B)</f>
        <v>Electronics</v>
      </c>
      <c r="J855">
        <f>_xlfn.XLOOKUP(E855,'Products Master'!A:A,'Products Master'!C:C)</f>
        <v>35000</v>
      </c>
      <c r="K855" t="str">
        <f>_xlfn.XLOOKUP(E855,'Products Master'!A:A,'Products Master'!D:D)</f>
        <v>HP</v>
      </c>
      <c r="L855">
        <f t="shared" si="52"/>
        <v>225000</v>
      </c>
      <c r="M855">
        <f t="shared" si="53"/>
        <v>175000</v>
      </c>
      <c r="N855">
        <f t="shared" si="54"/>
        <v>50000</v>
      </c>
      <c r="O855" s="2">
        <f t="shared" si="55"/>
        <v>0.22222222222222221</v>
      </c>
    </row>
    <row r="856" spans="1:15">
      <c r="A856" t="s">
        <v>1318</v>
      </c>
      <c r="B856" t="s">
        <v>1319</v>
      </c>
      <c r="C856" t="s">
        <v>114</v>
      </c>
      <c r="D856" t="s">
        <v>111</v>
      </c>
      <c r="E856" t="s">
        <v>40</v>
      </c>
      <c r="F856">
        <v>2</v>
      </c>
      <c r="G856">
        <v>60000</v>
      </c>
      <c r="H856" t="s">
        <v>66</v>
      </c>
      <c r="I856" t="str">
        <f>_xlfn.XLOOKUP(E856,'Products Master'!A:A,'Products Master'!B:B)</f>
        <v>Electronics</v>
      </c>
      <c r="J856">
        <f>_xlfn.XLOOKUP(E856,'Products Master'!A:A,'Products Master'!C:C)</f>
        <v>50000</v>
      </c>
      <c r="K856" t="str">
        <f>_xlfn.XLOOKUP(E856,'Products Master'!A:A,'Products Master'!D:D)</f>
        <v>LG</v>
      </c>
      <c r="L856">
        <f t="shared" si="52"/>
        <v>120000</v>
      </c>
      <c r="M856">
        <f t="shared" si="53"/>
        <v>100000</v>
      </c>
      <c r="N856">
        <f t="shared" si="54"/>
        <v>20000</v>
      </c>
      <c r="O856" s="2">
        <f t="shared" si="55"/>
        <v>0.16666666666666666</v>
      </c>
    </row>
    <row r="857" spans="1:15">
      <c r="A857" t="s">
        <v>1320</v>
      </c>
      <c r="B857" t="s">
        <v>296</v>
      </c>
      <c r="C857" t="s">
        <v>63</v>
      </c>
      <c r="D857" t="s">
        <v>29</v>
      </c>
      <c r="E857" t="s">
        <v>18</v>
      </c>
      <c r="F857">
        <v>4</v>
      </c>
      <c r="G857">
        <v>45000</v>
      </c>
      <c r="H857" t="s">
        <v>30</v>
      </c>
      <c r="I857" t="str">
        <f>_xlfn.XLOOKUP(E857,'Products Master'!A:A,'Products Master'!B:B)</f>
        <v>Electronics</v>
      </c>
      <c r="J857">
        <f>_xlfn.XLOOKUP(E857,'Products Master'!A:A,'Products Master'!C:C)</f>
        <v>35000</v>
      </c>
      <c r="K857" t="str">
        <f>_xlfn.XLOOKUP(E857,'Products Master'!A:A,'Products Master'!D:D)</f>
        <v>HP</v>
      </c>
      <c r="L857">
        <f t="shared" si="52"/>
        <v>180000</v>
      </c>
      <c r="M857">
        <f t="shared" si="53"/>
        <v>140000</v>
      </c>
      <c r="N857">
        <f t="shared" si="54"/>
        <v>40000</v>
      </c>
      <c r="O857" s="2">
        <f t="shared" si="55"/>
        <v>0.22222222222222221</v>
      </c>
    </row>
    <row r="858" spans="1:15">
      <c r="A858" t="s">
        <v>1321</v>
      </c>
      <c r="B858" t="s">
        <v>1079</v>
      </c>
      <c r="C858" t="s">
        <v>233</v>
      </c>
      <c r="D858" t="s">
        <v>29</v>
      </c>
      <c r="E858" t="s">
        <v>99</v>
      </c>
      <c r="F858">
        <v>1</v>
      </c>
      <c r="G858">
        <v>5000</v>
      </c>
      <c r="H858" t="s">
        <v>41</v>
      </c>
      <c r="I858" t="str">
        <f>_xlfn.XLOOKUP(E858,'Products Master'!A:A,'Products Master'!B:B)</f>
        <v>Accessories</v>
      </c>
      <c r="J858">
        <f>_xlfn.XLOOKUP(E858,'Products Master'!A:A,'Products Master'!C:C)</f>
        <v>3500</v>
      </c>
      <c r="K858" t="str">
        <f>_xlfn.XLOOKUP(E858,'Products Master'!A:A,'Products Master'!D:D)</f>
        <v>Logitech</v>
      </c>
      <c r="L858">
        <f t="shared" si="52"/>
        <v>5000</v>
      </c>
      <c r="M858">
        <f t="shared" si="53"/>
        <v>3500</v>
      </c>
      <c r="N858">
        <f t="shared" si="54"/>
        <v>1500</v>
      </c>
      <c r="O858" s="2">
        <f t="shared" si="55"/>
        <v>0.3</v>
      </c>
    </row>
    <row r="859" spans="1:15">
      <c r="A859" t="s">
        <v>1322</v>
      </c>
      <c r="B859" t="s">
        <v>606</v>
      </c>
      <c r="C859" t="s">
        <v>22</v>
      </c>
      <c r="D859" t="s">
        <v>11</v>
      </c>
      <c r="E859" t="s">
        <v>35</v>
      </c>
      <c r="F859">
        <v>4</v>
      </c>
      <c r="G859">
        <v>2000</v>
      </c>
      <c r="H859" t="s">
        <v>13</v>
      </c>
      <c r="I859" t="str">
        <f>_xlfn.XLOOKUP(E859,'Products Master'!A:A,'Products Master'!B:B)</f>
        <v>Storage</v>
      </c>
      <c r="J859">
        <f>_xlfn.XLOOKUP(E859,'Products Master'!A:A,'Products Master'!C:C)</f>
        <v>1200</v>
      </c>
      <c r="K859" t="str">
        <f>_xlfn.XLOOKUP(E859,'Products Master'!A:A,'Products Master'!D:D)</f>
        <v>SanDisk</v>
      </c>
      <c r="L859">
        <f t="shared" si="52"/>
        <v>8000</v>
      </c>
      <c r="M859">
        <f t="shared" si="53"/>
        <v>4800</v>
      </c>
      <c r="N859">
        <f t="shared" si="54"/>
        <v>3200</v>
      </c>
      <c r="O859" s="2">
        <f t="shared" si="55"/>
        <v>0.4</v>
      </c>
    </row>
    <row r="860" spans="1:15">
      <c r="A860" t="s">
        <v>1323</v>
      </c>
      <c r="B860" t="s">
        <v>1324</v>
      </c>
      <c r="C860" t="s">
        <v>341</v>
      </c>
      <c r="D860" t="s">
        <v>11</v>
      </c>
      <c r="E860" t="s">
        <v>18</v>
      </c>
      <c r="F860">
        <v>1</v>
      </c>
      <c r="G860">
        <v>45000</v>
      </c>
      <c r="H860" t="s">
        <v>19</v>
      </c>
      <c r="I860" t="str">
        <f>_xlfn.XLOOKUP(E860,'Products Master'!A:A,'Products Master'!B:B)</f>
        <v>Electronics</v>
      </c>
      <c r="J860">
        <f>_xlfn.XLOOKUP(E860,'Products Master'!A:A,'Products Master'!C:C)</f>
        <v>35000</v>
      </c>
      <c r="K860" t="str">
        <f>_xlfn.XLOOKUP(E860,'Products Master'!A:A,'Products Master'!D:D)</f>
        <v>HP</v>
      </c>
      <c r="L860">
        <f t="shared" si="52"/>
        <v>45000</v>
      </c>
      <c r="M860">
        <f t="shared" si="53"/>
        <v>35000</v>
      </c>
      <c r="N860">
        <f t="shared" si="54"/>
        <v>10000</v>
      </c>
      <c r="O860" s="2">
        <f t="shared" si="55"/>
        <v>0.22222222222222221</v>
      </c>
    </row>
    <row r="861" spans="1:15">
      <c r="A861" t="s">
        <v>1325</v>
      </c>
      <c r="B861" t="s">
        <v>87</v>
      </c>
      <c r="C861" t="s">
        <v>170</v>
      </c>
      <c r="D861" t="s">
        <v>23</v>
      </c>
      <c r="E861" t="s">
        <v>179</v>
      </c>
      <c r="F861">
        <v>1</v>
      </c>
      <c r="G861">
        <v>80000</v>
      </c>
      <c r="H861" t="s">
        <v>41</v>
      </c>
      <c r="I861" t="str">
        <f>_xlfn.XLOOKUP(E861,'Products Master'!A:A,'Products Master'!B:B)</f>
        <v>Electronics</v>
      </c>
      <c r="J861">
        <f>_xlfn.XLOOKUP(E861,'Products Master'!A:A,'Products Master'!C:C)</f>
        <v>65000</v>
      </c>
      <c r="K861" t="str">
        <f>_xlfn.XLOOKUP(E861,'Products Master'!A:A,'Products Master'!D:D)</f>
        <v>Samsung</v>
      </c>
      <c r="L861">
        <f t="shared" si="52"/>
        <v>80000</v>
      </c>
      <c r="M861">
        <f t="shared" si="53"/>
        <v>65000</v>
      </c>
      <c r="N861">
        <f t="shared" si="54"/>
        <v>15000</v>
      </c>
      <c r="O861" s="2">
        <f t="shared" si="55"/>
        <v>0.1875</v>
      </c>
    </row>
    <row r="862" spans="1:15">
      <c r="A862" t="s">
        <v>1326</v>
      </c>
      <c r="B862" t="s">
        <v>764</v>
      </c>
      <c r="C862" t="s">
        <v>48</v>
      </c>
      <c r="D862" t="s">
        <v>34</v>
      </c>
      <c r="E862" t="s">
        <v>40</v>
      </c>
      <c r="F862">
        <v>3</v>
      </c>
      <c r="G862">
        <v>60000</v>
      </c>
      <c r="H862" t="s">
        <v>30</v>
      </c>
      <c r="I862" t="str">
        <f>_xlfn.XLOOKUP(E862,'Products Master'!A:A,'Products Master'!B:B)</f>
        <v>Electronics</v>
      </c>
      <c r="J862">
        <f>_xlfn.XLOOKUP(E862,'Products Master'!A:A,'Products Master'!C:C)</f>
        <v>50000</v>
      </c>
      <c r="K862" t="str">
        <f>_xlfn.XLOOKUP(E862,'Products Master'!A:A,'Products Master'!D:D)</f>
        <v>LG</v>
      </c>
      <c r="L862">
        <f t="shared" si="52"/>
        <v>180000</v>
      </c>
      <c r="M862">
        <f t="shared" si="53"/>
        <v>150000</v>
      </c>
      <c r="N862">
        <f t="shared" si="54"/>
        <v>30000</v>
      </c>
      <c r="O862" s="2">
        <f t="shared" si="55"/>
        <v>0.16666666666666666</v>
      </c>
    </row>
    <row r="863" spans="1:15">
      <c r="A863" t="s">
        <v>1327</v>
      </c>
      <c r="B863" t="s">
        <v>27</v>
      </c>
      <c r="C863" t="s">
        <v>119</v>
      </c>
      <c r="D863" t="s">
        <v>111</v>
      </c>
      <c r="E863" t="s">
        <v>54</v>
      </c>
      <c r="F863">
        <v>1</v>
      </c>
      <c r="G863">
        <v>7000</v>
      </c>
      <c r="H863" t="s">
        <v>30</v>
      </c>
      <c r="I863" t="str">
        <f>_xlfn.XLOOKUP(E863,'Products Master'!A:A,'Products Master'!B:B)</f>
        <v>Accessories</v>
      </c>
      <c r="J863">
        <f>_xlfn.XLOOKUP(E863,'Products Master'!A:A,'Products Master'!C:C)</f>
        <v>5000</v>
      </c>
      <c r="K863" t="str">
        <f>_xlfn.XLOOKUP(E863,'Products Master'!A:A,'Products Master'!D:D)</f>
        <v>Sony</v>
      </c>
      <c r="L863">
        <f t="shared" si="52"/>
        <v>7000</v>
      </c>
      <c r="M863">
        <f t="shared" si="53"/>
        <v>5000</v>
      </c>
      <c r="N863">
        <f t="shared" si="54"/>
        <v>2000</v>
      </c>
      <c r="O863" s="2">
        <f t="shared" si="55"/>
        <v>0.2857142857142857</v>
      </c>
    </row>
    <row r="864" spans="1:15">
      <c r="A864" t="s">
        <v>1328</v>
      </c>
      <c r="B864" t="s">
        <v>1214</v>
      </c>
      <c r="C864" t="s">
        <v>72</v>
      </c>
      <c r="D864" t="s">
        <v>34</v>
      </c>
      <c r="E864" t="s">
        <v>35</v>
      </c>
      <c r="F864">
        <v>5</v>
      </c>
      <c r="G864">
        <v>2000</v>
      </c>
      <c r="H864" t="s">
        <v>41</v>
      </c>
      <c r="I864" t="str">
        <f>_xlfn.XLOOKUP(E864,'Products Master'!A:A,'Products Master'!B:B)</f>
        <v>Storage</v>
      </c>
      <c r="J864">
        <f>_xlfn.XLOOKUP(E864,'Products Master'!A:A,'Products Master'!C:C)</f>
        <v>1200</v>
      </c>
      <c r="K864" t="str">
        <f>_xlfn.XLOOKUP(E864,'Products Master'!A:A,'Products Master'!D:D)</f>
        <v>SanDisk</v>
      </c>
      <c r="L864">
        <f t="shared" si="52"/>
        <v>10000</v>
      </c>
      <c r="M864">
        <f t="shared" si="53"/>
        <v>6000</v>
      </c>
      <c r="N864">
        <f t="shared" si="54"/>
        <v>4000</v>
      </c>
      <c r="O864" s="2">
        <f t="shared" si="55"/>
        <v>0.4</v>
      </c>
    </row>
    <row r="865" spans="1:15">
      <c r="A865" t="s">
        <v>1329</v>
      </c>
      <c r="B865" t="s">
        <v>229</v>
      </c>
      <c r="C865" t="s">
        <v>186</v>
      </c>
      <c r="D865" t="s">
        <v>11</v>
      </c>
      <c r="E865" t="s">
        <v>99</v>
      </c>
      <c r="F865">
        <v>4</v>
      </c>
      <c r="G865">
        <v>5000</v>
      </c>
      <c r="H865" t="s">
        <v>25</v>
      </c>
      <c r="I865" t="str">
        <f>_xlfn.XLOOKUP(E865,'Products Master'!A:A,'Products Master'!B:B)</f>
        <v>Accessories</v>
      </c>
      <c r="J865">
        <f>_xlfn.XLOOKUP(E865,'Products Master'!A:A,'Products Master'!C:C)</f>
        <v>3500</v>
      </c>
      <c r="K865" t="str">
        <f>_xlfn.XLOOKUP(E865,'Products Master'!A:A,'Products Master'!D:D)</f>
        <v>Logitech</v>
      </c>
      <c r="L865">
        <f t="shared" si="52"/>
        <v>20000</v>
      </c>
      <c r="M865">
        <f t="shared" si="53"/>
        <v>14000</v>
      </c>
      <c r="N865">
        <f t="shared" si="54"/>
        <v>6000</v>
      </c>
      <c r="O865" s="2">
        <f t="shared" si="55"/>
        <v>0.3</v>
      </c>
    </row>
    <row r="866" spans="1:15">
      <c r="A866" t="s">
        <v>1330</v>
      </c>
      <c r="B866" t="s">
        <v>218</v>
      </c>
      <c r="C866" t="s">
        <v>263</v>
      </c>
      <c r="D866" t="s">
        <v>29</v>
      </c>
      <c r="E866" t="s">
        <v>49</v>
      </c>
      <c r="F866">
        <v>3</v>
      </c>
      <c r="G866">
        <v>9500</v>
      </c>
      <c r="H866" t="s">
        <v>36</v>
      </c>
      <c r="I866" t="str">
        <f>_xlfn.XLOOKUP(E866,'Products Master'!A:A,'Products Master'!B:B)</f>
        <v>Accessories</v>
      </c>
      <c r="J866">
        <f>_xlfn.XLOOKUP(E866,'Products Master'!A:A,'Products Master'!C:C)</f>
        <v>7000</v>
      </c>
      <c r="K866" t="str">
        <f>_xlfn.XLOOKUP(E866,'Products Master'!A:A,'Products Master'!D:D)</f>
        <v>Logitech</v>
      </c>
      <c r="L866">
        <f t="shared" si="52"/>
        <v>28500</v>
      </c>
      <c r="M866">
        <f t="shared" si="53"/>
        <v>21000</v>
      </c>
      <c r="N866">
        <f t="shared" si="54"/>
        <v>7500</v>
      </c>
      <c r="O866" s="2">
        <f t="shared" si="55"/>
        <v>0.26315789473684209</v>
      </c>
    </row>
    <row r="867" spans="1:15">
      <c r="A867" t="s">
        <v>1331</v>
      </c>
      <c r="B867" t="s">
        <v>275</v>
      </c>
      <c r="C867" t="s">
        <v>303</v>
      </c>
      <c r="D867" t="s">
        <v>17</v>
      </c>
      <c r="E867" t="s">
        <v>124</v>
      </c>
      <c r="F867">
        <v>1</v>
      </c>
      <c r="G867">
        <v>18000</v>
      </c>
      <c r="H867" t="s">
        <v>13</v>
      </c>
      <c r="I867" t="str">
        <f>_xlfn.XLOOKUP(E867,'Products Master'!A:A,'Products Master'!B:B)</f>
        <v>Storage</v>
      </c>
      <c r="J867">
        <f>_xlfn.XLOOKUP(E867,'Products Master'!A:A,'Products Master'!C:C)</f>
        <v>12000</v>
      </c>
      <c r="K867" t="str">
        <f>_xlfn.XLOOKUP(E867,'Products Master'!A:A,'Products Master'!D:D)</f>
        <v>Kingston</v>
      </c>
      <c r="L867">
        <f t="shared" si="52"/>
        <v>18000</v>
      </c>
      <c r="M867">
        <f t="shared" si="53"/>
        <v>12000</v>
      </c>
      <c r="N867">
        <f t="shared" si="54"/>
        <v>6000</v>
      </c>
      <c r="O867" s="2">
        <f t="shared" si="55"/>
        <v>0.33333333333333331</v>
      </c>
    </row>
    <row r="868" spans="1:15">
      <c r="A868" t="s">
        <v>1332</v>
      </c>
      <c r="B868" t="s">
        <v>249</v>
      </c>
      <c r="C868" t="s">
        <v>312</v>
      </c>
      <c r="D868" t="s">
        <v>17</v>
      </c>
      <c r="E868" t="s">
        <v>124</v>
      </c>
      <c r="F868">
        <v>1</v>
      </c>
      <c r="G868">
        <v>18000</v>
      </c>
      <c r="H868" t="s">
        <v>25</v>
      </c>
      <c r="I868" t="str">
        <f>_xlfn.XLOOKUP(E868,'Products Master'!A:A,'Products Master'!B:B)</f>
        <v>Storage</v>
      </c>
      <c r="J868">
        <f>_xlfn.XLOOKUP(E868,'Products Master'!A:A,'Products Master'!C:C)</f>
        <v>12000</v>
      </c>
      <c r="K868" t="str">
        <f>_xlfn.XLOOKUP(E868,'Products Master'!A:A,'Products Master'!D:D)</f>
        <v>Kingston</v>
      </c>
      <c r="L868">
        <f t="shared" si="52"/>
        <v>18000</v>
      </c>
      <c r="M868">
        <f t="shared" si="53"/>
        <v>12000</v>
      </c>
      <c r="N868">
        <f t="shared" si="54"/>
        <v>6000</v>
      </c>
      <c r="O868" s="2">
        <f t="shared" si="55"/>
        <v>0.33333333333333331</v>
      </c>
    </row>
    <row r="869" spans="1:15">
      <c r="A869" t="s">
        <v>1333</v>
      </c>
      <c r="B869" t="s">
        <v>691</v>
      </c>
      <c r="C869" t="s">
        <v>152</v>
      </c>
      <c r="D869" t="s">
        <v>115</v>
      </c>
      <c r="E869" t="s">
        <v>12</v>
      </c>
      <c r="F869">
        <v>5</v>
      </c>
      <c r="G869">
        <v>150000</v>
      </c>
      <c r="H869" t="s">
        <v>116</v>
      </c>
      <c r="I869" t="str">
        <f>_xlfn.XLOOKUP(E869,'Products Master'!A:A,'Products Master'!B:B)</f>
        <v>Electronics</v>
      </c>
      <c r="J869">
        <f>_xlfn.XLOOKUP(E869,'Products Master'!A:A,'Products Master'!C:C)</f>
        <v>120000</v>
      </c>
      <c r="K869" t="str">
        <f>_xlfn.XLOOKUP(E869,'Products Master'!A:A,'Products Master'!D:D)</f>
        <v>Dell</v>
      </c>
      <c r="L869">
        <f t="shared" si="52"/>
        <v>750000</v>
      </c>
      <c r="M869">
        <f t="shared" si="53"/>
        <v>600000</v>
      </c>
      <c r="N869">
        <f t="shared" si="54"/>
        <v>150000</v>
      </c>
      <c r="O869" s="2">
        <f t="shared" si="55"/>
        <v>0.2</v>
      </c>
    </row>
    <row r="870" spans="1:15">
      <c r="A870" t="s">
        <v>1334</v>
      </c>
      <c r="B870" t="s">
        <v>710</v>
      </c>
      <c r="C870" t="s">
        <v>491</v>
      </c>
      <c r="D870" t="s">
        <v>45</v>
      </c>
      <c r="E870" t="s">
        <v>179</v>
      </c>
      <c r="F870">
        <v>4</v>
      </c>
      <c r="G870">
        <v>80000</v>
      </c>
      <c r="H870" t="s">
        <v>41</v>
      </c>
      <c r="I870" t="str">
        <f>_xlfn.XLOOKUP(E870,'Products Master'!A:A,'Products Master'!B:B)</f>
        <v>Electronics</v>
      </c>
      <c r="J870">
        <f>_xlfn.XLOOKUP(E870,'Products Master'!A:A,'Products Master'!C:C)</f>
        <v>65000</v>
      </c>
      <c r="K870" t="str">
        <f>_xlfn.XLOOKUP(E870,'Products Master'!A:A,'Products Master'!D:D)</f>
        <v>Samsung</v>
      </c>
      <c r="L870">
        <f t="shared" si="52"/>
        <v>320000</v>
      </c>
      <c r="M870">
        <f t="shared" si="53"/>
        <v>260000</v>
      </c>
      <c r="N870">
        <f t="shared" si="54"/>
        <v>60000</v>
      </c>
      <c r="O870" s="2">
        <f t="shared" si="55"/>
        <v>0.1875</v>
      </c>
    </row>
    <row r="871" spans="1:15">
      <c r="A871" t="s">
        <v>1335</v>
      </c>
      <c r="B871" t="s">
        <v>637</v>
      </c>
      <c r="C871" t="s">
        <v>39</v>
      </c>
      <c r="D871" t="s">
        <v>23</v>
      </c>
      <c r="E871" t="s">
        <v>18</v>
      </c>
      <c r="F871">
        <v>1</v>
      </c>
      <c r="G871">
        <v>45000</v>
      </c>
      <c r="H871" t="s">
        <v>50</v>
      </c>
      <c r="I871" t="str">
        <f>_xlfn.XLOOKUP(E871,'Products Master'!A:A,'Products Master'!B:B)</f>
        <v>Electronics</v>
      </c>
      <c r="J871">
        <f>_xlfn.XLOOKUP(E871,'Products Master'!A:A,'Products Master'!C:C)</f>
        <v>35000</v>
      </c>
      <c r="K871" t="str">
        <f>_xlfn.XLOOKUP(E871,'Products Master'!A:A,'Products Master'!D:D)</f>
        <v>HP</v>
      </c>
      <c r="L871">
        <f t="shared" si="52"/>
        <v>45000</v>
      </c>
      <c r="M871">
        <f t="shared" si="53"/>
        <v>35000</v>
      </c>
      <c r="N871">
        <f t="shared" si="54"/>
        <v>10000</v>
      </c>
      <c r="O871" s="2">
        <f t="shared" si="55"/>
        <v>0.22222222222222221</v>
      </c>
    </row>
    <row r="872" spans="1:15">
      <c r="A872" t="s">
        <v>1336</v>
      </c>
      <c r="B872" t="s">
        <v>1337</v>
      </c>
      <c r="C872" t="s">
        <v>299</v>
      </c>
      <c r="D872" t="s">
        <v>111</v>
      </c>
      <c r="E872" t="s">
        <v>179</v>
      </c>
      <c r="F872">
        <v>2</v>
      </c>
      <c r="G872">
        <v>80000</v>
      </c>
      <c r="H872" t="s">
        <v>41</v>
      </c>
      <c r="I872" t="str">
        <f>_xlfn.XLOOKUP(E872,'Products Master'!A:A,'Products Master'!B:B)</f>
        <v>Electronics</v>
      </c>
      <c r="J872">
        <f>_xlfn.XLOOKUP(E872,'Products Master'!A:A,'Products Master'!C:C)</f>
        <v>65000</v>
      </c>
      <c r="K872" t="str">
        <f>_xlfn.XLOOKUP(E872,'Products Master'!A:A,'Products Master'!D:D)</f>
        <v>Samsung</v>
      </c>
      <c r="L872">
        <f t="shared" si="52"/>
        <v>160000</v>
      </c>
      <c r="M872">
        <f t="shared" si="53"/>
        <v>130000</v>
      </c>
      <c r="N872">
        <f t="shared" si="54"/>
        <v>30000</v>
      </c>
      <c r="O872" s="2">
        <f t="shared" si="55"/>
        <v>0.1875</v>
      </c>
    </row>
    <row r="873" spans="1:15">
      <c r="A873" t="s">
        <v>1338</v>
      </c>
      <c r="B873" t="s">
        <v>480</v>
      </c>
      <c r="C873" t="s">
        <v>134</v>
      </c>
      <c r="D873" t="s">
        <v>34</v>
      </c>
      <c r="E873" t="s">
        <v>12</v>
      </c>
      <c r="F873">
        <v>3</v>
      </c>
      <c r="G873">
        <v>150000</v>
      </c>
      <c r="H873" t="s">
        <v>13</v>
      </c>
      <c r="I873" t="str">
        <f>_xlfn.XLOOKUP(E873,'Products Master'!A:A,'Products Master'!B:B)</f>
        <v>Electronics</v>
      </c>
      <c r="J873">
        <f>_xlfn.XLOOKUP(E873,'Products Master'!A:A,'Products Master'!C:C)</f>
        <v>120000</v>
      </c>
      <c r="K873" t="str">
        <f>_xlfn.XLOOKUP(E873,'Products Master'!A:A,'Products Master'!D:D)</f>
        <v>Dell</v>
      </c>
      <c r="L873">
        <f t="shared" si="52"/>
        <v>450000</v>
      </c>
      <c r="M873">
        <f t="shared" si="53"/>
        <v>360000</v>
      </c>
      <c r="N873">
        <f t="shared" si="54"/>
        <v>90000</v>
      </c>
      <c r="O873" s="2">
        <f t="shared" si="55"/>
        <v>0.2</v>
      </c>
    </row>
    <row r="874" spans="1:15">
      <c r="A874" t="s">
        <v>1339</v>
      </c>
      <c r="B874" t="s">
        <v>635</v>
      </c>
      <c r="C874" t="s">
        <v>22</v>
      </c>
      <c r="D874" t="s">
        <v>23</v>
      </c>
      <c r="E874" t="s">
        <v>18</v>
      </c>
      <c r="F874">
        <v>3</v>
      </c>
      <c r="G874">
        <v>45000</v>
      </c>
      <c r="H874" t="s">
        <v>25</v>
      </c>
      <c r="I874" t="str">
        <f>_xlfn.XLOOKUP(E874,'Products Master'!A:A,'Products Master'!B:B)</f>
        <v>Electronics</v>
      </c>
      <c r="J874">
        <f>_xlfn.XLOOKUP(E874,'Products Master'!A:A,'Products Master'!C:C)</f>
        <v>35000</v>
      </c>
      <c r="K874" t="str">
        <f>_xlfn.XLOOKUP(E874,'Products Master'!A:A,'Products Master'!D:D)</f>
        <v>HP</v>
      </c>
      <c r="L874">
        <f t="shared" si="52"/>
        <v>135000</v>
      </c>
      <c r="M874">
        <f t="shared" si="53"/>
        <v>105000</v>
      </c>
      <c r="N874">
        <f t="shared" si="54"/>
        <v>30000</v>
      </c>
      <c r="O874" s="2">
        <f t="shared" si="55"/>
        <v>0.22222222222222221</v>
      </c>
    </row>
    <row r="875" spans="1:15">
      <c r="A875" t="s">
        <v>1340</v>
      </c>
      <c r="B875" t="s">
        <v>151</v>
      </c>
      <c r="C875" t="s">
        <v>134</v>
      </c>
      <c r="D875" t="s">
        <v>115</v>
      </c>
      <c r="E875" t="s">
        <v>54</v>
      </c>
      <c r="F875">
        <v>2</v>
      </c>
      <c r="G875">
        <v>7000</v>
      </c>
      <c r="H875" t="s">
        <v>19</v>
      </c>
      <c r="I875" t="str">
        <f>_xlfn.XLOOKUP(E875,'Products Master'!A:A,'Products Master'!B:B)</f>
        <v>Accessories</v>
      </c>
      <c r="J875">
        <f>_xlfn.XLOOKUP(E875,'Products Master'!A:A,'Products Master'!C:C)</f>
        <v>5000</v>
      </c>
      <c r="K875" t="str">
        <f>_xlfn.XLOOKUP(E875,'Products Master'!A:A,'Products Master'!D:D)</f>
        <v>Sony</v>
      </c>
      <c r="L875">
        <f t="shared" si="52"/>
        <v>14000</v>
      </c>
      <c r="M875">
        <f t="shared" si="53"/>
        <v>10000</v>
      </c>
      <c r="N875">
        <f t="shared" si="54"/>
        <v>4000</v>
      </c>
      <c r="O875" s="2">
        <f t="shared" si="55"/>
        <v>0.2857142857142857</v>
      </c>
    </row>
    <row r="876" spans="1:15">
      <c r="A876" t="s">
        <v>1341</v>
      </c>
      <c r="B876" t="s">
        <v>714</v>
      </c>
      <c r="C876" t="s">
        <v>729</v>
      </c>
      <c r="D876" t="s">
        <v>115</v>
      </c>
      <c r="E876" t="s">
        <v>35</v>
      </c>
      <c r="F876">
        <v>4</v>
      </c>
      <c r="G876">
        <v>2000</v>
      </c>
      <c r="H876" t="s">
        <v>116</v>
      </c>
      <c r="I876" t="str">
        <f>_xlfn.XLOOKUP(E876,'Products Master'!A:A,'Products Master'!B:B)</f>
        <v>Storage</v>
      </c>
      <c r="J876">
        <f>_xlfn.XLOOKUP(E876,'Products Master'!A:A,'Products Master'!C:C)</f>
        <v>1200</v>
      </c>
      <c r="K876" t="str">
        <f>_xlfn.XLOOKUP(E876,'Products Master'!A:A,'Products Master'!D:D)</f>
        <v>SanDisk</v>
      </c>
      <c r="L876">
        <f t="shared" si="52"/>
        <v>8000</v>
      </c>
      <c r="M876">
        <f t="shared" si="53"/>
        <v>4800</v>
      </c>
      <c r="N876">
        <f t="shared" si="54"/>
        <v>3200</v>
      </c>
      <c r="O876" s="2">
        <f t="shared" si="55"/>
        <v>0.4</v>
      </c>
    </row>
    <row r="877" spans="1:15">
      <c r="A877" t="s">
        <v>1342</v>
      </c>
      <c r="B877" t="s">
        <v>860</v>
      </c>
      <c r="C877" t="s">
        <v>230</v>
      </c>
      <c r="D877" t="s">
        <v>34</v>
      </c>
      <c r="E877" t="s">
        <v>179</v>
      </c>
      <c r="F877">
        <v>5</v>
      </c>
      <c r="G877">
        <v>80000</v>
      </c>
      <c r="H877" t="s">
        <v>19</v>
      </c>
      <c r="I877" t="str">
        <f>_xlfn.XLOOKUP(E877,'Products Master'!A:A,'Products Master'!B:B)</f>
        <v>Electronics</v>
      </c>
      <c r="J877">
        <f>_xlfn.XLOOKUP(E877,'Products Master'!A:A,'Products Master'!C:C)</f>
        <v>65000</v>
      </c>
      <c r="K877" t="str">
        <f>_xlfn.XLOOKUP(E877,'Products Master'!A:A,'Products Master'!D:D)</f>
        <v>Samsung</v>
      </c>
      <c r="L877">
        <f t="shared" si="52"/>
        <v>400000</v>
      </c>
      <c r="M877">
        <f t="shared" si="53"/>
        <v>325000</v>
      </c>
      <c r="N877">
        <f t="shared" si="54"/>
        <v>75000</v>
      </c>
      <c r="O877" s="2">
        <f t="shared" si="55"/>
        <v>0.1875</v>
      </c>
    </row>
    <row r="878" spans="1:15">
      <c r="A878" t="s">
        <v>1343</v>
      </c>
      <c r="B878" t="s">
        <v>833</v>
      </c>
      <c r="C878" t="s">
        <v>101</v>
      </c>
      <c r="D878" t="s">
        <v>34</v>
      </c>
      <c r="E878" t="s">
        <v>49</v>
      </c>
      <c r="F878">
        <v>1</v>
      </c>
      <c r="G878">
        <v>9500</v>
      </c>
      <c r="H878" t="s">
        <v>19</v>
      </c>
      <c r="I878" t="str">
        <f>_xlfn.XLOOKUP(E878,'Products Master'!A:A,'Products Master'!B:B)</f>
        <v>Accessories</v>
      </c>
      <c r="J878">
        <f>_xlfn.XLOOKUP(E878,'Products Master'!A:A,'Products Master'!C:C)</f>
        <v>7000</v>
      </c>
      <c r="K878" t="str">
        <f>_xlfn.XLOOKUP(E878,'Products Master'!A:A,'Products Master'!D:D)</f>
        <v>Logitech</v>
      </c>
      <c r="L878">
        <f t="shared" si="52"/>
        <v>9500</v>
      </c>
      <c r="M878">
        <f t="shared" si="53"/>
        <v>7000</v>
      </c>
      <c r="N878">
        <f t="shared" si="54"/>
        <v>2500</v>
      </c>
      <c r="O878" s="2">
        <f t="shared" si="55"/>
        <v>0.26315789473684209</v>
      </c>
    </row>
    <row r="879" spans="1:15">
      <c r="A879" t="s">
        <v>1344</v>
      </c>
      <c r="B879" t="s">
        <v>680</v>
      </c>
      <c r="C879" t="s">
        <v>731</v>
      </c>
      <c r="D879" t="s">
        <v>111</v>
      </c>
      <c r="E879" t="s">
        <v>124</v>
      </c>
      <c r="F879">
        <v>2</v>
      </c>
      <c r="G879">
        <v>18000</v>
      </c>
      <c r="H879" t="s">
        <v>41</v>
      </c>
      <c r="I879" t="str">
        <f>_xlfn.XLOOKUP(E879,'Products Master'!A:A,'Products Master'!B:B)</f>
        <v>Storage</v>
      </c>
      <c r="J879">
        <f>_xlfn.XLOOKUP(E879,'Products Master'!A:A,'Products Master'!C:C)</f>
        <v>12000</v>
      </c>
      <c r="K879" t="str">
        <f>_xlfn.XLOOKUP(E879,'Products Master'!A:A,'Products Master'!D:D)</f>
        <v>Kingston</v>
      </c>
      <c r="L879">
        <f t="shared" si="52"/>
        <v>36000</v>
      </c>
      <c r="M879">
        <f t="shared" si="53"/>
        <v>24000</v>
      </c>
      <c r="N879">
        <f t="shared" si="54"/>
        <v>12000</v>
      </c>
      <c r="O879" s="2">
        <f t="shared" si="55"/>
        <v>0.33333333333333331</v>
      </c>
    </row>
    <row r="880" spans="1:15">
      <c r="A880" t="s">
        <v>1345</v>
      </c>
      <c r="B880" t="s">
        <v>444</v>
      </c>
      <c r="C880" t="s">
        <v>53</v>
      </c>
      <c r="D880" t="s">
        <v>29</v>
      </c>
      <c r="E880" t="s">
        <v>12</v>
      </c>
      <c r="F880">
        <v>2</v>
      </c>
      <c r="G880">
        <v>150000</v>
      </c>
      <c r="H880" t="s">
        <v>30</v>
      </c>
      <c r="I880" t="str">
        <f>_xlfn.XLOOKUP(E880,'Products Master'!A:A,'Products Master'!B:B)</f>
        <v>Electronics</v>
      </c>
      <c r="J880">
        <f>_xlfn.XLOOKUP(E880,'Products Master'!A:A,'Products Master'!C:C)</f>
        <v>120000</v>
      </c>
      <c r="K880" t="str">
        <f>_xlfn.XLOOKUP(E880,'Products Master'!A:A,'Products Master'!D:D)</f>
        <v>Dell</v>
      </c>
      <c r="L880">
        <f t="shared" si="52"/>
        <v>300000</v>
      </c>
      <c r="M880">
        <f t="shared" si="53"/>
        <v>240000</v>
      </c>
      <c r="N880">
        <f t="shared" si="54"/>
        <v>60000</v>
      </c>
      <c r="O880" s="2">
        <f t="shared" si="55"/>
        <v>0.2</v>
      </c>
    </row>
    <row r="881" spans="1:15">
      <c r="A881" t="s">
        <v>1346</v>
      </c>
      <c r="B881" t="s">
        <v>358</v>
      </c>
      <c r="C881" t="s">
        <v>466</v>
      </c>
      <c r="D881" t="s">
        <v>111</v>
      </c>
      <c r="E881" t="s">
        <v>179</v>
      </c>
      <c r="F881">
        <v>5</v>
      </c>
      <c r="G881">
        <v>80000</v>
      </c>
      <c r="H881" t="s">
        <v>41</v>
      </c>
      <c r="I881" t="str">
        <f>_xlfn.XLOOKUP(E881,'Products Master'!A:A,'Products Master'!B:B)</f>
        <v>Electronics</v>
      </c>
      <c r="J881">
        <f>_xlfn.XLOOKUP(E881,'Products Master'!A:A,'Products Master'!C:C)</f>
        <v>65000</v>
      </c>
      <c r="K881" t="str">
        <f>_xlfn.XLOOKUP(E881,'Products Master'!A:A,'Products Master'!D:D)</f>
        <v>Samsung</v>
      </c>
      <c r="L881">
        <f t="shared" si="52"/>
        <v>400000</v>
      </c>
      <c r="M881">
        <f t="shared" si="53"/>
        <v>325000</v>
      </c>
      <c r="N881">
        <f t="shared" si="54"/>
        <v>75000</v>
      </c>
      <c r="O881" s="2">
        <f t="shared" si="55"/>
        <v>0.1875</v>
      </c>
    </row>
    <row r="882" spans="1:15">
      <c r="A882" t="s">
        <v>1347</v>
      </c>
      <c r="B882" t="s">
        <v>405</v>
      </c>
      <c r="C882" t="s">
        <v>703</v>
      </c>
      <c r="D882" t="s">
        <v>45</v>
      </c>
      <c r="E882" t="s">
        <v>18</v>
      </c>
      <c r="F882">
        <v>5</v>
      </c>
      <c r="G882">
        <v>45000</v>
      </c>
      <c r="H882" t="s">
        <v>66</v>
      </c>
      <c r="I882" t="str">
        <f>_xlfn.XLOOKUP(E882,'Products Master'!A:A,'Products Master'!B:B)</f>
        <v>Electronics</v>
      </c>
      <c r="J882">
        <f>_xlfn.XLOOKUP(E882,'Products Master'!A:A,'Products Master'!C:C)</f>
        <v>35000</v>
      </c>
      <c r="K882" t="str">
        <f>_xlfn.XLOOKUP(E882,'Products Master'!A:A,'Products Master'!D:D)</f>
        <v>HP</v>
      </c>
      <c r="L882">
        <f t="shared" si="52"/>
        <v>225000</v>
      </c>
      <c r="M882">
        <f t="shared" si="53"/>
        <v>175000</v>
      </c>
      <c r="N882">
        <f t="shared" si="54"/>
        <v>50000</v>
      </c>
      <c r="O882" s="2">
        <f t="shared" si="55"/>
        <v>0.22222222222222221</v>
      </c>
    </row>
    <row r="883" spans="1:15">
      <c r="A883" t="s">
        <v>1348</v>
      </c>
      <c r="B883" t="s">
        <v>239</v>
      </c>
      <c r="C883" t="s">
        <v>77</v>
      </c>
      <c r="D883" t="s">
        <v>115</v>
      </c>
      <c r="E883" t="s">
        <v>49</v>
      </c>
      <c r="F883">
        <v>5</v>
      </c>
      <c r="G883">
        <v>9500</v>
      </c>
      <c r="H883" t="s">
        <v>50</v>
      </c>
      <c r="I883" t="str">
        <f>_xlfn.XLOOKUP(E883,'Products Master'!A:A,'Products Master'!B:B)</f>
        <v>Accessories</v>
      </c>
      <c r="J883">
        <f>_xlfn.XLOOKUP(E883,'Products Master'!A:A,'Products Master'!C:C)</f>
        <v>7000</v>
      </c>
      <c r="K883" t="str">
        <f>_xlfn.XLOOKUP(E883,'Products Master'!A:A,'Products Master'!D:D)</f>
        <v>Logitech</v>
      </c>
      <c r="L883">
        <f t="shared" si="52"/>
        <v>47500</v>
      </c>
      <c r="M883">
        <f t="shared" si="53"/>
        <v>35000</v>
      </c>
      <c r="N883">
        <f t="shared" si="54"/>
        <v>12500</v>
      </c>
      <c r="O883" s="2">
        <f t="shared" si="55"/>
        <v>0.26315789473684209</v>
      </c>
    </row>
    <row r="884" spans="1:15">
      <c r="A884" t="s">
        <v>1349</v>
      </c>
      <c r="B884" t="s">
        <v>525</v>
      </c>
      <c r="C884" t="s">
        <v>470</v>
      </c>
      <c r="D884" t="s">
        <v>23</v>
      </c>
      <c r="E884" t="s">
        <v>54</v>
      </c>
      <c r="F884">
        <v>1</v>
      </c>
      <c r="G884">
        <v>7000</v>
      </c>
      <c r="H884" t="s">
        <v>36</v>
      </c>
      <c r="I884" t="str">
        <f>_xlfn.XLOOKUP(E884,'Products Master'!A:A,'Products Master'!B:B)</f>
        <v>Accessories</v>
      </c>
      <c r="J884">
        <f>_xlfn.XLOOKUP(E884,'Products Master'!A:A,'Products Master'!C:C)</f>
        <v>5000</v>
      </c>
      <c r="K884" t="str">
        <f>_xlfn.XLOOKUP(E884,'Products Master'!A:A,'Products Master'!D:D)</f>
        <v>Sony</v>
      </c>
      <c r="L884">
        <f t="shared" si="52"/>
        <v>7000</v>
      </c>
      <c r="M884">
        <f t="shared" si="53"/>
        <v>5000</v>
      </c>
      <c r="N884">
        <f t="shared" si="54"/>
        <v>2000</v>
      </c>
      <c r="O884" s="2">
        <f t="shared" si="55"/>
        <v>0.2857142857142857</v>
      </c>
    </row>
    <row r="885" spans="1:15">
      <c r="A885" t="s">
        <v>1350</v>
      </c>
      <c r="B885" t="s">
        <v>848</v>
      </c>
      <c r="C885" t="s">
        <v>212</v>
      </c>
      <c r="D885" t="s">
        <v>29</v>
      </c>
      <c r="E885" t="s">
        <v>179</v>
      </c>
      <c r="F885">
        <v>4</v>
      </c>
      <c r="G885">
        <v>80000</v>
      </c>
      <c r="H885" t="s">
        <v>13</v>
      </c>
      <c r="I885" t="str">
        <f>_xlfn.XLOOKUP(E885,'Products Master'!A:A,'Products Master'!B:B)</f>
        <v>Electronics</v>
      </c>
      <c r="J885">
        <f>_xlfn.XLOOKUP(E885,'Products Master'!A:A,'Products Master'!C:C)</f>
        <v>65000</v>
      </c>
      <c r="K885" t="str">
        <f>_xlfn.XLOOKUP(E885,'Products Master'!A:A,'Products Master'!D:D)</f>
        <v>Samsung</v>
      </c>
      <c r="L885">
        <f t="shared" si="52"/>
        <v>320000</v>
      </c>
      <c r="M885">
        <f t="shared" si="53"/>
        <v>260000</v>
      </c>
      <c r="N885">
        <f t="shared" si="54"/>
        <v>60000</v>
      </c>
      <c r="O885" s="2">
        <f t="shared" si="55"/>
        <v>0.1875</v>
      </c>
    </row>
    <row r="886" spans="1:15">
      <c r="A886" t="s">
        <v>1351</v>
      </c>
      <c r="B886" t="s">
        <v>571</v>
      </c>
      <c r="C886" t="s">
        <v>186</v>
      </c>
      <c r="D886" t="s">
        <v>34</v>
      </c>
      <c r="E886" t="s">
        <v>24</v>
      </c>
      <c r="F886">
        <v>5</v>
      </c>
      <c r="G886">
        <v>2500</v>
      </c>
      <c r="H886" t="s">
        <v>30</v>
      </c>
      <c r="I886" t="str">
        <f>_xlfn.XLOOKUP(E886,'Products Master'!A:A,'Products Master'!B:B)</f>
        <v>Accessories</v>
      </c>
      <c r="J886">
        <f>_xlfn.XLOOKUP(E886,'Products Master'!A:A,'Products Master'!C:C)</f>
        <v>1500</v>
      </c>
      <c r="K886" t="str">
        <f>_xlfn.XLOOKUP(E886,'Products Master'!A:A,'Products Master'!D:D)</f>
        <v>Logitech</v>
      </c>
      <c r="L886">
        <f t="shared" si="52"/>
        <v>12500</v>
      </c>
      <c r="M886">
        <f t="shared" si="53"/>
        <v>7500</v>
      </c>
      <c r="N886">
        <f t="shared" si="54"/>
        <v>5000</v>
      </c>
      <c r="O886" s="2">
        <f t="shared" si="55"/>
        <v>0.4</v>
      </c>
    </row>
    <row r="887" spans="1:15">
      <c r="A887" t="s">
        <v>1352</v>
      </c>
      <c r="B887" t="s">
        <v>339</v>
      </c>
      <c r="C887" t="s">
        <v>337</v>
      </c>
      <c r="D887" t="s">
        <v>115</v>
      </c>
      <c r="E887" t="s">
        <v>24</v>
      </c>
      <c r="F887">
        <v>1</v>
      </c>
      <c r="G887">
        <v>2500</v>
      </c>
      <c r="H887" t="s">
        <v>116</v>
      </c>
      <c r="I887" t="str">
        <f>_xlfn.XLOOKUP(E887,'Products Master'!A:A,'Products Master'!B:B)</f>
        <v>Accessories</v>
      </c>
      <c r="J887">
        <f>_xlfn.XLOOKUP(E887,'Products Master'!A:A,'Products Master'!C:C)</f>
        <v>1500</v>
      </c>
      <c r="K887" t="str">
        <f>_xlfn.XLOOKUP(E887,'Products Master'!A:A,'Products Master'!D:D)</f>
        <v>Logitech</v>
      </c>
      <c r="L887">
        <f t="shared" si="52"/>
        <v>2500</v>
      </c>
      <c r="M887">
        <f t="shared" si="53"/>
        <v>1500</v>
      </c>
      <c r="N887">
        <f t="shared" si="54"/>
        <v>1000</v>
      </c>
      <c r="O887" s="2">
        <f t="shared" si="55"/>
        <v>0.4</v>
      </c>
    </row>
    <row r="888" spans="1:15">
      <c r="A888" t="s">
        <v>1353</v>
      </c>
      <c r="B888" t="s">
        <v>106</v>
      </c>
      <c r="C888" t="s">
        <v>74</v>
      </c>
      <c r="D888" t="s">
        <v>17</v>
      </c>
      <c r="E888" t="s">
        <v>40</v>
      </c>
      <c r="F888">
        <v>3</v>
      </c>
      <c r="G888">
        <v>60000</v>
      </c>
      <c r="H888" t="s">
        <v>95</v>
      </c>
      <c r="I888" t="str">
        <f>_xlfn.XLOOKUP(E888,'Products Master'!A:A,'Products Master'!B:B)</f>
        <v>Electronics</v>
      </c>
      <c r="J888">
        <f>_xlfn.XLOOKUP(E888,'Products Master'!A:A,'Products Master'!C:C)</f>
        <v>50000</v>
      </c>
      <c r="K888" t="str">
        <f>_xlfn.XLOOKUP(E888,'Products Master'!A:A,'Products Master'!D:D)</f>
        <v>LG</v>
      </c>
      <c r="L888">
        <f t="shared" si="52"/>
        <v>180000</v>
      </c>
      <c r="M888">
        <f t="shared" si="53"/>
        <v>150000</v>
      </c>
      <c r="N888">
        <f t="shared" si="54"/>
        <v>30000</v>
      </c>
      <c r="O888" s="2">
        <f t="shared" si="55"/>
        <v>0.16666666666666666</v>
      </c>
    </row>
    <row r="889" spans="1:15">
      <c r="A889" t="s">
        <v>1354</v>
      </c>
      <c r="B889" t="s">
        <v>919</v>
      </c>
      <c r="C889" t="s">
        <v>299</v>
      </c>
      <c r="D889" t="s">
        <v>17</v>
      </c>
      <c r="E889" t="s">
        <v>35</v>
      </c>
      <c r="F889">
        <v>2</v>
      </c>
      <c r="G889">
        <v>2000</v>
      </c>
      <c r="H889" t="s">
        <v>13</v>
      </c>
      <c r="I889" t="str">
        <f>_xlfn.XLOOKUP(E889,'Products Master'!A:A,'Products Master'!B:B)</f>
        <v>Storage</v>
      </c>
      <c r="J889">
        <f>_xlfn.XLOOKUP(E889,'Products Master'!A:A,'Products Master'!C:C)</f>
        <v>1200</v>
      </c>
      <c r="K889" t="str">
        <f>_xlfn.XLOOKUP(E889,'Products Master'!A:A,'Products Master'!D:D)</f>
        <v>SanDisk</v>
      </c>
      <c r="L889">
        <f t="shared" si="52"/>
        <v>4000</v>
      </c>
      <c r="M889">
        <f t="shared" si="53"/>
        <v>2400</v>
      </c>
      <c r="N889">
        <f t="shared" si="54"/>
        <v>1600</v>
      </c>
      <c r="O889" s="2">
        <f t="shared" si="55"/>
        <v>0.4</v>
      </c>
    </row>
    <row r="890" spans="1:15">
      <c r="A890" t="s">
        <v>1355</v>
      </c>
      <c r="B890" t="s">
        <v>273</v>
      </c>
      <c r="C890" t="s">
        <v>107</v>
      </c>
      <c r="D890" t="s">
        <v>115</v>
      </c>
      <c r="E890" t="s">
        <v>12</v>
      </c>
      <c r="F890">
        <v>4</v>
      </c>
      <c r="G890">
        <v>150000</v>
      </c>
      <c r="H890" t="s">
        <v>30</v>
      </c>
      <c r="I890" t="str">
        <f>_xlfn.XLOOKUP(E890,'Products Master'!A:A,'Products Master'!B:B)</f>
        <v>Electronics</v>
      </c>
      <c r="J890">
        <f>_xlfn.XLOOKUP(E890,'Products Master'!A:A,'Products Master'!C:C)</f>
        <v>120000</v>
      </c>
      <c r="K890" t="str">
        <f>_xlfn.XLOOKUP(E890,'Products Master'!A:A,'Products Master'!D:D)</f>
        <v>Dell</v>
      </c>
      <c r="L890">
        <f t="shared" si="52"/>
        <v>600000</v>
      </c>
      <c r="M890">
        <f t="shared" si="53"/>
        <v>480000</v>
      </c>
      <c r="N890">
        <f t="shared" si="54"/>
        <v>120000</v>
      </c>
      <c r="O890" s="2">
        <f t="shared" si="55"/>
        <v>0.2</v>
      </c>
    </row>
    <row r="891" spans="1:15">
      <c r="A891" t="s">
        <v>1356</v>
      </c>
      <c r="B891" t="s">
        <v>736</v>
      </c>
      <c r="C891" t="s">
        <v>346</v>
      </c>
      <c r="D891" t="s">
        <v>23</v>
      </c>
      <c r="E891" t="s">
        <v>179</v>
      </c>
      <c r="F891">
        <v>2</v>
      </c>
      <c r="G891">
        <v>80000</v>
      </c>
      <c r="H891" t="s">
        <v>66</v>
      </c>
      <c r="I891" t="str">
        <f>_xlfn.XLOOKUP(E891,'Products Master'!A:A,'Products Master'!B:B)</f>
        <v>Electronics</v>
      </c>
      <c r="J891">
        <f>_xlfn.XLOOKUP(E891,'Products Master'!A:A,'Products Master'!C:C)</f>
        <v>65000</v>
      </c>
      <c r="K891" t="str">
        <f>_xlfn.XLOOKUP(E891,'Products Master'!A:A,'Products Master'!D:D)</f>
        <v>Samsung</v>
      </c>
      <c r="L891">
        <f t="shared" si="52"/>
        <v>160000</v>
      </c>
      <c r="M891">
        <f t="shared" si="53"/>
        <v>130000</v>
      </c>
      <c r="N891">
        <f t="shared" si="54"/>
        <v>30000</v>
      </c>
      <c r="O891" s="2">
        <f t="shared" si="55"/>
        <v>0.1875</v>
      </c>
    </row>
    <row r="892" spans="1:15">
      <c r="A892" t="s">
        <v>1357</v>
      </c>
      <c r="B892" t="s">
        <v>1153</v>
      </c>
      <c r="C892" t="s">
        <v>212</v>
      </c>
      <c r="D892" t="s">
        <v>23</v>
      </c>
      <c r="E892" t="s">
        <v>40</v>
      </c>
      <c r="F892">
        <v>4</v>
      </c>
      <c r="G892">
        <v>60000</v>
      </c>
      <c r="H892" t="s">
        <v>66</v>
      </c>
      <c r="I892" t="str">
        <f>_xlfn.XLOOKUP(E892,'Products Master'!A:A,'Products Master'!B:B)</f>
        <v>Electronics</v>
      </c>
      <c r="J892">
        <f>_xlfn.XLOOKUP(E892,'Products Master'!A:A,'Products Master'!C:C)</f>
        <v>50000</v>
      </c>
      <c r="K892" t="str">
        <f>_xlfn.XLOOKUP(E892,'Products Master'!A:A,'Products Master'!D:D)</f>
        <v>LG</v>
      </c>
      <c r="L892">
        <f t="shared" si="52"/>
        <v>240000</v>
      </c>
      <c r="M892">
        <f t="shared" si="53"/>
        <v>200000</v>
      </c>
      <c r="N892">
        <f t="shared" si="54"/>
        <v>40000</v>
      </c>
      <c r="O892" s="2">
        <f t="shared" si="55"/>
        <v>0.16666666666666666</v>
      </c>
    </row>
    <row r="893" spans="1:15">
      <c r="A893" t="s">
        <v>1358</v>
      </c>
      <c r="B893" t="s">
        <v>223</v>
      </c>
      <c r="C893" t="s">
        <v>422</v>
      </c>
      <c r="D893" t="s">
        <v>115</v>
      </c>
      <c r="E893" t="s">
        <v>179</v>
      </c>
      <c r="F893">
        <v>1</v>
      </c>
      <c r="G893">
        <v>80000</v>
      </c>
      <c r="H893" t="s">
        <v>66</v>
      </c>
      <c r="I893" t="str">
        <f>_xlfn.XLOOKUP(E893,'Products Master'!A:A,'Products Master'!B:B)</f>
        <v>Electronics</v>
      </c>
      <c r="J893">
        <f>_xlfn.XLOOKUP(E893,'Products Master'!A:A,'Products Master'!C:C)</f>
        <v>65000</v>
      </c>
      <c r="K893" t="str">
        <f>_xlfn.XLOOKUP(E893,'Products Master'!A:A,'Products Master'!D:D)</f>
        <v>Samsung</v>
      </c>
      <c r="L893">
        <f t="shared" si="52"/>
        <v>80000</v>
      </c>
      <c r="M893">
        <f t="shared" si="53"/>
        <v>65000</v>
      </c>
      <c r="N893">
        <f t="shared" si="54"/>
        <v>15000</v>
      </c>
      <c r="O893" s="2">
        <f t="shared" si="55"/>
        <v>0.1875</v>
      </c>
    </row>
    <row r="894" spans="1:15">
      <c r="A894" t="s">
        <v>1359</v>
      </c>
      <c r="B894" t="s">
        <v>87</v>
      </c>
      <c r="C894" t="s">
        <v>247</v>
      </c>
      <c r="D894" t="s">
        <v>11</v>
      </c>
      <c r="E894" t="s">
        <v>18</v>
      </c>
      <c r="F894">
        <v>4</v>
      </c>
      <c r="G894">
        <v>45000</v>
      </c>
      <c r="H894" t="s">
        <v>13</v>
      </c>
      <c r="I894" t="str">
        <f>_xlfn.XLOOKUP(E894,'Products Master'!A:A,'Products Master'!B:B)</f>
        <v>Electronics</v>
      </c>
      <c r="J894">
        <f>_xlfn.XLOOKUP(E894,'Products Master'!A:A,'Products Master'!C:C)</f>
        <v>35000</v>
      </c>
      <c r="K894" t="str">
        <f>_xlfn.XLOOKUP(E894,'Products Master'!A:A,'Products Master'!D:D)</f>
        <v>HP</v>
      </c>
      <c r="L894">
        <f t="shared" si="52"/>
        <v>180000</v>
      </c>
      <c r="M894">
        <f t="shared" si="53"/>
        <v>140000</v>
      </c>
      <c r="N894">
        <f t="shared" si="54"/>
        <v>40000</v>
      </c>
      <c r="O894" s="2">
        <f t="shared" si="55"/>
        <v>0.22222222222222221</v>
      </c>
    </row>
    <row r="895" spans="1:15">
      <c r="A895" t="s">
        <v>1360</v>
      </c>
      <c r="B895" t="s">
        <v>90</v>
      </c>
      <c r="C895" t="s">
        <v>83</v>
      </c>
      <c r="D895" t="s">
        <v>11</v>
      </c>
      <c r="E895" t="s">
        <v>12</v>
      </c>
      <c r="F895">
        <v>5</v>
      </c>
      <c r="G895">
        <v>150000</v>
      </c>
      <c r="H895" t="s">
        <v>13</v>
      </c>
      <c r="I895" t="str">
        <f>_xlfn.XLOOKUP(E895,'Products Master'!A:A,'Products Master'!B:B)</f>
        <v>Electronics</v>
      </c>
      <c r="J895">
        <f>_xlfn.XLOOKUP(E895,'Products Master'!A:A,'Products Master'!C:C)</f>
        <v>120000</v>
      </c>
      <c r="K895" t="str">
        <f>_xlfn.XLOOKUP(E895,'Products Master'!A:A,'Products Master'!D:D)</f>
        <v>Dell</v>
      </c>
      <c r="L895">
        <f t="shared" si="52"/>
        <v>750000</v>
      </c>
      <c r="M895">
        <f t="shared" si="53"/>
        <v>600000</v>
      </c>
      <c r="N895">
        <f t="shared" si="54"/>
        <v>150000</v>
      </c>
      <c r="O895" s="2">
        <f t="shared" si="55"/>
        <v>0.2</v>
      </c>
    </row>
    <row r="896" spans="1:15">
      <c r="A896" t="s">
        <v>1361</v>
      </c>
      <c r="B896" t="s">
        <v>270</v>
      </c>
      <c r="C896" t="s">
        <v>466</v>
      </c>
      <c r="D896" t="s">
        <v>111</v>
      </c>
      <c r="E896" t="s">
        <v>54</v>
      </c>
      <c r="F896">
        <v>3</v>
      </c>
      <c r="G896">
        <v>7000</v>
      </c>
      <c r="H896" t="s">
        <v>30</v>
      </c>
      <c r="I896" t="str">
        <f>_xlfn.XLOOKUP(E896,'Products Master'!A:A,'Products Master'!B:B)</f>
        <v>Accessories</v>
      </c>
      <c r="J896">
        <f>_xlfn.XLOOKUP(E896,'Products Master'!A:A,'Products Master'!C:C)</f>
        <v>5000</v>
      </c>
      <c r="K896" t="str">
        <f>_xlfn.XLOOKUP(E896,'Products Master'!A:A,'Products Master'!D:D)</f>
        <v>Sony</v>
      </c>
      <c r="L896">
        <f t="shared" si="52"/>
        <v>21000</v>
      </c>
      <c r="M896">
        <f t="shared" si="53"/>
        <v>15000</v>
      </c>
      <c r="N896">
        <f t="shared" si="54"/>
        <v>6000</v>
      </c>
      <c r="O896" s="2">
        <f t="shared" si="55"/>
        <v>0.2857142857142857</v>
      </c>
    </row>
    <row r="897" spans="1:15">
      <c r="A897" t="s">
        <v>1362</v>
      </c>
      <c r="B897" t="s">
        <v>1363</v>
      </c>
      <c r="C897" t="s">
        <v>119</v>
      </c>
      <c r="D897" t="s">
        <v>11</v>
      </c>
      <c r="E897" t="s">
        <v>18</v>
      </c>
      <c r="F897">
        <v>2</v>
      </c>
      <c r="G897">
        <v>45000</v>
      </c>
      <c r="H897" t="s">
        <v>25</v>
      </c>
      <c r="I897" t="str">
        <f>_xlfn.XLOOKUP(E897,'Products Master'!A:A,'Products Master'!B:B)</f>
        <v>Electronics</v>
      </c>
      <c r="J897">
        <f>_xlfn.XLOOKUP(E897,'Products Master'!A:A,'Products Master'!C:C)</f>
        <v>35000</v>
      </c>
      <c r="K897" t="str">
        <f>_xlfn.XLOOKUP(E897,'Products Master'!A:A,'Products Master'!D:D)</f>
        <v>HP</v>
      </c>
      <c r="L897">
        <f t="shared" si="52"/>
        <v>90000</v>
      </c>
      <c r="M897">
        <f t="shared" si="53"/>
        <v>70000</v>
      </c>
      <c r="N897">
        <f t="shared" si="54"/>
        <v>20000</v>
      </c>
      <c r="O897" s="2">
        <f t="shared" si="55"/>
        <v>0.22222222222222221</v>
      </c>
    </row>
    <row r="898" spans="1:15">
      <c r="A898" t="s">
        <v>1364</v>
      </c>
      <c r="B898" t="s">
        <v>1061</v>
      </c>
      <c r="C898" t="s">
        <v>16</v>
      </c>
      <c r="D898" t="s">
        <v>23</v>
      </c>
      <c r="E898" t="s">
        <v>54</v>
      </c>
      <c r="F898">
        <v>3</v>
      </c>
      <c r="G898">
        <v>7000</v>
      </c>
      <c r="H898" t="s">
        <v>66</v>
      </c>
      <c r="I898" t="str">
        <f>_xlfn.XLOOKUP(E898,'Products Master'!A:A,'Products Master'!B:B)</f>
        <v>Accessories</v>
      </c>
      <c r="J898">
        <f>_xlfn.XLOOKUP(E898,'Products Master'!A:A,'Products Master'!C:C)</f>
        <v>5000</v>
      </c>
      <c r="K898" t="str">
        <f>_xlfn.XLOOKUP(E898,'Products Master'!A:A,'Products Master'!D:D)</f>
        <v>Sony</v>
      </c>
      <c r="L898">
        <f t="shared" si="52"/>
        <v>21000</v>
      </c>
      <c r="M898">
        <f t="shared" si="53"/>
        <v>15000</v>
      </c>
      <c r="N898">
        <f t="shared" si="54"/>
        <v>6000</v>
      </c>
      <c r="O898" s="2">
        <f t="shared" si="55"/>
        <v>0.2857142857142857</v>
      </c>
    </row>
    <row r="899" spans="1:15">
      <c r="A899" t="s">
        <v>1365</v>
      </c>
      <c r="B899" t="s">
        <v>680</v>
      </c>
      <c r="C899" t="s">
        <v>729</v>
      </c>
      <c r="D899" t="s">
        <v>34</v>
      </c>
      <c r="E899" t="s">
        <v>35</v>
      </c>
      <c r="F899">
        <v>4</v>
      </c>
      <c r="G899">
        <v>2000</v>
      </c>
      <c r="H899" t="s">
        <v>13</v>
      </c>
      <c r="I899" t="str">
        <f>_xlfn.XLOOKUP(E899,'Products Master'!A:A,'Products Master'!B:B)</f>
        <v>Storage</v>
      </c>
      <c r="J899">
        <f>_xlfn.XLOOKUP(E899,'Products Master'!A:A,'Products Master'!C:C)</f>
        <v>1200</v>
      </c>
      <c r="K899" t="str">
        <f>_xlfn.XLOOKUP(E899,'Products Master'!A:A,'Products Master'!D:D)</f>
        <v>SanDisk</v>
      </c>
      <c r="L899">
        <f t="shared" ref="L899:L962" si="56">F899*G899</f>
        <v>8000</v>
      </c>
      <c r="M899">
        <f t="shared" ref="M899:M962" si="57">F899*J899</f>
        <v>4800</v>
      </c>
      <c r="N899">
        <f t="shared" ref="N899:N962" si="58">L899-M899</f>
        <v>3200</v>
      </c>
      <c r="O899" s="2">
        <f t="shared" ref="O899:O962" si="59">N899/L899</f>
        <v>0.4</v>
      </c>
    </row>
    <row r="900" spans="1:15">
      <c r="A900" t="s">
        <v>1366</v>
      </c>
      <c r="B900" t="s">
        <v>348</v>
      </c>
      <c r="C900" t="s">
        <v>10</v>
      </c>
      <c r="D900" t="s">
        <v>45</v>
      </c>
      <c r="E900" t="s">
        <v>40</v>
      </c>
      <c r="F900">
        <v>2</v>
      </c>
      <c r="G900">
        <v>60000</v>
      </c>
      <c r="H900" t="s">
        <v>36</v>
      </c>
      <c r="I900" t="str">
        <f>_xlfn.XLOOKUP(E900,'Products Master'!A:A,'Products Master'!B:B)</f>
        <v>Electronics</v>
      </c>
      <c r="J900">
        <f>_xlfn.XLOOKUP(E900,'Products Master'!A:A,'Products Master'!C:C)</f>
        <v>50000</v>
      </c>
      <c r="K900" t="str">
        <f>_xlfn.XLOOKUP(E900,'Products Master'!A:A,'Products Master'!D:D)</f>
        <v>LG</v>
      </c>
      <c r="L900">
        <f t="shared" si="56"/>
        <v>120000</v>
      </c>
      <c r="M900">
        <f t="shared" si="57"/>
        <v>100000</v>
      </c>
      <c r="N900">
        <f t="shared" si="58"/>
        <v>20000</v>
      </c>
      <c r="O900" s="2">
        <f t="shared" si="59"/>
        <v>0.16666666666666666</v>
      </c>
    </row>
    <row r="901" spans="1:15">
      <c r="A901" t="s">
        <v>1367</v>
      </c>
      <c r="B901" t="s">
        <v>565</v>
      </c>
      <c r="C901" t="s">
        <v>147</v>
      </c>
      <c r="D901" t="s">
        <v>23</v>
      </c>
      <c r="E901" t="s">
        <v>179</v>
      </c>
      <c r="F901">
        <v>2</v>
      </c>
      <c r="G901">
        <v>80000</v>
      </c>
      <c r="H901" t="s">
        <v>50</v>
      </c>
      <c r="I901" t="str">
        <f>_xlfn.XLOOKUP(E901,'Products Master'!A:A,'Products Master'!B:B)</f>
        <v>Electronics</v>
      </c>
      <c r="J901">
        <f>_xlfn.XLOOKUP(E901,'Products Master'!A:A,'Products Master'!C:C)</f>
        <v>65000</v>
      </c>
      <c r="K901" t="str">
        <f>_xlfn.XLOOKUP(E901,'Products Master'!A:A,'Products Master'!D:D)</f>
        <v>Samsung</v>
      </c>
      <c r="L901">
        <f t="shared" si="56"/>
        <v>160000</v>
      </c>
      <c r="M901">
        <f t="shared" si="57"/>
        <v>130000</v>
      </c>
      <c r="N901">
        <f t="shared" si="58"/>
        <v>30000</v>
      </c>
      <c r="O901" s="2">
        <f t="shared" si="59"/>
        <v>0.1875</v>
      </c>
    </row>
    <row r="902" spans="1:15">
      <c r="A902" t="s">
        <v>1368</v>
      </c>
      <c r="B902" t="s">
        <v>178</v>
      </c>
      <c r="C902" t="s">
        <v>140</v>
      </c>
      <c r="D902" t="s">
        <v>29</v>
      </c>
      <c r="E902" t="s">
        <v>24</v>
      </c>
      <c r="F902">
        <v>4</v>
      </c>
      <c r="G902">
        <v>2500</v>
      </c>
      <c r="H902" t="s">
        <v>25</v>
      </c>
      <c r="I902" t="str">
        <f>_xlfn.XLOOKUP(E902,'Products Master'!A:A,'Products Master'!B:B)</f>
        <v>Accessories</v>
      </c>
      <c r="J902">
        <f>_xlfn.XLOOKUP(E902,'Products Master'!A:A,'Products Master'!C:C)</f>
        <v>1500</v>
      </c>
      <c r="K902" t="str">
        <f>_xlfn.XLOOKUP(E902,'Products Master'!A:A,'Products Master'!D:D)</f>
        <v>Logitech</v>
      </c>
      <c r="L902">
        <f t="shared" si="56"/>
        <v>10000</v>
      </c>
      <c r="M902">
        <f t="shared" si="57"/>
        <v>6000</v>
      </c>
      <c r="N902">
        <f t="shared" si="58"/>
        <v>4000</v>
      </c>
      <c r="O902" s="2">
        <f t="shared" si="59"/>
        <v>0.4</v>
      </c>
    </row>
    <row r="903" spans="1:15">
      <c r="A903" t="s">
        <v>1369</v>
      </c>
      <c r="B903" t="s">
        <v>79</v>
      </c>
      <c r="C903" t="s">
        <v>77</v>
      </c>
      <c r="D903" t="s">
        <v>115</v>
      </c>
      <c r="E903" t="s">
        <v>35</v>
      </c>
      <c r="F903">
        <v>1</v>
      </c>
      <c r="G903">
        <v>2000</v>
      </c>
      <c r="H903" t="s">
        <v>95</v>
      </c>
      <c r="I903" t="str">
        <f>_xlfn.XLOOKUP(E903,'Products Master'!A:A,'Products Master'!B:B)</f>
        <v>Storage</v>
      </c>
      <c r="J903">
        <f>_xlfn.XLOOKUP(E903,'Products Master'!A:A,'Products Master'!C:C)</f>
        <v>1200</v>
      </c>
      <c r="K903" t="str">
        <f>_xlfn.XLOOKUP(E903,'Products Master'!A:A,'Products Master'!D:D)</f>
        <v>SanDisk</v>
      </c>
      <c r="L903">
        <f t="shared" si="56"/>
        <v>2000</v>
      </c>
      <c r="M903">
        <f t="shared" si="57"/>
        <v>1200</v>
      </c>
      <c r="N903">
        <f t="shared" si="58"/>
        <v>800</v>
      </c>
      <c r="O903" s="2">
        <f t="shared" si="59"/>
        <v>0.4</v>
      </c>
    </row>
    <row r="904" spans="1:15">
      <c r="A904" t="s">
        <v>1370</v>
      </c>
      <c r="B904" t="s">
        <v>1176</v>
      </c>
      <c r="C904" t="s">
        <v>74</v>
      </c>
      <c r="D904" t="s">
        <v>17</v>
      </c>
      <c r="E904" t="s">
        <v>24</v>
      </c>
      <c r="F904">
        <v>4</v>
      </c>
      <c r="G904">
        <v>2500</v>
      </c>
      <c r="H904" t="s">
        <v>30</v>
      </c>
      <c r="I904" t="str">
        <f>_xlfn.XLOOKUP(E904,'Products Master'!A:A,'Products Master'!B:B)</f>
        <v>Accessories</v>
      </c>
      <c r="J904">
        <f>_xlfn.XLOOKUP(E904,'Products Master'!A:A,'Products Master'!C:C)</f>
        <v>1500</v>
      </c>
      <c r="K904" t="str">
        <f>_xlfn.XLOOKUP(E904,'Products Master'!A:A,'Products Master'!D:D)</f>
        <v>Logitech</v>
      </c>
      <c r="L904">
        <f t="shared" si="56"/>
        <v>10000</v>
      </c>
      <c r="M904">
        <f t="shared" si="57"/>
        <v>6000</v>
      </c>
      <c r="N904">
        <f t="shared" si="58"/>
        <v>4000</v>
      </c>
      <c r="O904" s="2">
        <f t="shared" si="59"/>
        <v>0.4</v>
      </c>
    </row>
    <row r="905" spans="1:15">
      <c r="A905" t="s">
        <v>1371</v>
      </c>
      <c r="B905" t="s">
        <v>1372</v>
      </c>
      <c r="C905" t="s">
        <v>729</v>
      </c>
      <c r="D905" t="s">
        <v>17</v>
      </c>
      <c r="E905" t="s">
        <v>49</v>
      </c>
      <c r="F905">
        <v>5</v>
      </c>
      <c r="G905">
        <v>9500</v>
      </c>
      <c r="H905" t="s">
        <v>30</v>
      </c>
      <c r="I905" t="str">
        <f>_xlfn.XLOOKUP(E905,'Products Master'!A:A,'Products Master'!B:B)</f>
        <v>Accessories</v>
      </c>
      <c r="J905">
        <f>_xlfn.XLOOKUP(E905,'Products Master'!A:A,'Products Master'!C:C)</f>
        <v>7000</v>
      </c>
      <c r="K905" t="str">
        <f>_xlfn.XLOOKUP(E905,'Products Master'!A:A,'Products Master'!D:D)</f>
        <v>Logitech</v>
      </c>
      <c r="L905">
        <f t="shared" si="56"/>
        <v>47500</v>
      </c>
      <c r="M905">
        <f t="shared" si="57"/>
        <v>35000</v>
      </c>
      <c r="N905">
        <f t="shared" si="58"/>
        <v>12500</v>
      </c>
      <c r="O905" s="2">
        <f t="shared" si="59"/>
        <v>0.26315789473684209</v>
      </c>
    </row>
    <row r="906" spans="1:15">
      <c r="A906" t="s">
        <v>1373</v>
      </c>
      <c r="B906" t="s">
        <v>343</v>
      </c>
      <c r="C906" t="s">
        <v>22</v>
      </c>
      <c r="D906" t="s">
        <v>23</v>
      </c>
      <c r="E906" t="s">
        <v>35</v>
      </c>
      <c r="F906">
        <v>3</v>
      </c>
      <c r="G906">
        <v>2000</v>
      </c>
      <c r="H906" t="s">
        <v>13</v>
      </c>
      <c r="I906" t="str">
        <f>_xlfn.XLOOKUP(E906,'Products Master'!A:A,'Products Master'!B:B)</f>
        <v>Storage</v>
      </c>
      <c r="J906">
        <f>_xlfn.XLOOKUP(E906,'Products Master'!A:A,'Products Master'!C:C)</f>
        <v>1200</v>
      </c>
      <c r="K906" t="str">
        <f>_xlfn.XLOOKUP(E906,'Products Master'!A:A,'Products Master'!D:D)</f>
        <v>SanDisk</v>
      </c>
      <c r="L906">
        <f t="shared" si="56"/>
        <v>6000</v>
      </c>
      <c r="M906">
        <f t="shared" si="57"/>
        <v>3600</v>
      </c>
      <c r="N906">
        <f t="shared" si="58"/>
        <v>2400</v>
      </c>
      <c r="O906" s="2">
        <f t="shared" si="59"/>
        <v>0.4</v>
      </c>
    </row>
    <row r="907" spans="1:15">
      <c r="A907" t="s">
        <v>1374</v>
      </c>
      <c r="B907" t="s">
        <v>379</v>
      </c>
      <c r="C907" t="s">
        <v>60</v>
      </c>
      <c r="D907" t="s">
        <v>115</v>
      </c>
      <c r="E907" t="s">
        <v>12</v>
      </c>
      <c r="F907">
        <v>2</v>
      </c>
      <c r="G907">
        <v>150000</v>
      </c>
      <c r="H907" t="s">
        <v>25</v>
      </c>
      <c r="I907" t="str">
        <f>_xlfn.XLOOKUP(E907,'Products Master'!A:A,'Products Master'!B:B)</f>
        <v>Electronics</v>
      </c>
      <c r="J907">
        <f>_xlfn.XLOOKUP(E907,'Products Master'!A:A,'Products Master'!C:C)</f>
        <v>120000</v>
      </c>
      <c r="K907" t="str">
        <f>_xlfn.XLOOKUP(E907,'Products Master'!A:A,'Products Master'!D:D)</f>
        <v>Dell</v>
      </c>
      <c r="L907">
        <f t="shared" si="56"/>
        <v>300000</v>
      </c>
      <c r="M907">
        <f t="shared" si="57"/>
        <v>240000</v>
      </c>
      <c r="N907">
        <f t="shared" si="58"/>
        <v>60000</v>
      </c>
      <c r="O907" s="2">
        <f t="shared" si="59"/>
        <v>0.2</v>
      </c>
    </row>
    <row r="908" spans="1:15">
      <c r="A908" t="s">
        <v>1375</v>
      </c>
      <c r="B908" t="s">
        <v>795</v>
      </c>
      <c r="C908" t="s">
        <v>375</v>
      </c>
      <c r="D908" t="s">
        <v>11</v>
      </c>
      <c r="E908" t="s">
        <v>179</v>
      </c>
      <c r="F908">
        <v>1</v>
      </c>
      <c r="G908">
        <v>80000</v>
      </c>
      <c r="H908" t="s">
        <v>95</v>
      </c>
      <c r="I908" t="str">
        <f>_xlfn.XLOOKUP(E908,'Products Master'!A:A,'Products Master'!B:B)</f>
        <v>Electronics</v>
      </c>
      <c r="J908">
        <f>_xlfn.XLOOKUP(E908,'Products Master'!A:A,'Products Master'!C:C)</f>
        <v>65000</v>
      </c>
      <c r="K908" t="str">
        <f>_xlfn.XLOOKUP(E908,'Products Master'!A:A,'Products Master'!D:D)</f>
        <v>Samsung</v>
      </c>
      <c r="L908">
        <f t="shared" si="56"/>
        <v>80000</v>
      </c>
      <c r="M908">
        <f t="shared" si="57"/>
        <v>65000</v>
      </c>
      <c r="N908">
        <f t="shared" si="58"/>
        <v>15000</v>
      </c>
      <c r="O908" s="2">
        <f t="shared" si="59"/>
        <v>0.1875</v>
      </c>
    </row>
    <row r="909" spans="1:15">
      <c r="A909" t="s">
        <v>1376</v>
      </c>
      <c r="B909" t="s">
        <v>622</v>
      </c>
      <c r="C909" t="s">
        <v>104</v>
      </c>
      <c r="D909" t="s">
        <v>34</v>
      </c>
      <c r="E909" t="s">
        <v>40</v>
      </c>
      <c r="F909">
        <v>1</v>
      </c>
      <c r="G909">
        <v>60000</v>
      </c>
      <c r="H909" t="s">
        <v>95</v>
      </c>
      <c r="I909" t="str">
        <f>_xlfn.XLOOKUP(E909,'Products Master'!A:A,'Products Master'!B:B)</f>
        <v>Electronics</v>
      </c>
      <c r="J909">
        <f>_xlfn.XLOOKUP(E909,'Products Master'!A:A,'Products Master'!C:C)</f>
        <v>50000</v>
      </c>
      <c r="K909" t="str">
        <f>_xlfn.XLOOKUP(E909,'Products Master'!A:A,'Products Master'!D:D)</f>
        <v>LG</v>
      </c>
      <c r="L909">
        <f t="shared" si="56"/>
        <v>60000</v>
      </c>
      <c r="M909">
        <f t="shared" si="57"/>
        <v>50000</v>
      </c>
      <c r="N909">
        <f t="shared" si="58"/>
        <v>10000</v>
      </c>
      <c r="O909" s="2">
        <f t="shared" si="59"/>
        <v>0.16666666666666666</v>
      </c>
    </row>
    <row r="910" spans="1:15">
      <c r="A910" t="s">
        <v>1377</v>
      </c>
      <c r="B910" t="s">
        <v>1372</v>
      </c>
      <c r="C910" t="s">
        <v>10</v>
      </c>
      <c r="D910" t="s">
        <v>17</v>
      </c>
      <c r="E910" t="s">
        <v>12</v>
      </c>
      <c r="F910">
        <v>1</v>
      </c>
      <c r="G910">
        <v>150000</v>
      </c>
      <c r="H910" t="s">
        <v>30</v>
      </c>
      <c r="I910" t="str">
        <f>_xlfn.XLOOKUP(E910,'Products Master'!A:A,'Products Master'!B:B)</f>
        <v>Electronics</v>
      </c>
      <c r="J910">
        <f>_xlfn.XLOOKUP(E910,'Products Master'!A:A,'Products Master'!C:C)</f>
        <v>120000</v>
      </c>
      <c r="K910" t="str">
        <f>_xlfn.XLOOKUP(E910,'Products Master'!A:A,'Products Master'!D:D)</f>
        <v>Dell</v>
      </c>
      <c r="L910">
        <f t="shared" si="56"/>
        <v>150000</v>
      </c>
      <c r="M910">
        <f t="shared" si="57"/>
        <v>120000</v>
      </c>
      <c r="N910">
        <f t="shared" si="58"/>
        <v>30000</v>
      </c>
      <c r="O910" s="2">
        <f t="shared" si="59"/>
        <v>0.2</v>
      </c>
    </row>
    <row r="911" spans="1:15">
      <c r="A911" t="s">
        <v>1378</v>
      </c>
      <c r="B911" t="s">
        <v>1379</v>
      </c>
      <c r="C911" t="s">
        <v>481</v>
      </c>
      <c r="D911" t="s">
        <v>111</v>
      </c>
      <c r="E911" t="s">
        <v>179</v>
      </c>
      <c r="F911">
        <v>5</v>
      </c>
      <c r="G911">
        <v>80000</v>
      </c>
      <c r="H911" t="s">
        <v>13</v>
      </c>
      <c r="I911" t="str">
        <f>_xlfn.XLOOKUP(E911,'Products Master'!A:A,'Products Master'!B:B)</f>
        <v>Electronics</v>
      </c>
      <c r="J911">
        <f>_xlfn.XLOOKUP(E911,'Products Master'!A:A,'Products Master'!C:C)</f>
        <v>65000</v>
      </c>
      <c r="K911" t="str">
        <f>_xlfn.XLOOKUP(E911,'Products Master'!A:A,'Products Master'!D:D)</f>
        <v>Samsung</v>
      </c>
      <c r="L911">
        <f t="shared" si="56"/>
        <v>400000</v>
      </c>
      <c r="M911">
        <f t="shared" si="57"/>
        <v>325000</v>
      </c>
      <c r="N911">
        <f t="shared" si="58"/>
        <v>75000</v>
      </c>
      <c r="O911" s="2">
        <f t="shared" si="59"/>
        <v>0.1875</v>
      </c>
    </row>
    <row r="912" spans="1:15">
      <c r="A912" t="s">
        <v>1380</v>
      </c>
      <c r="B912" t="s">
        <v>1381</v>
      </c>
      <c r="C912" t="s">
        <v>263</v>
      </c>
      <c r="D912" t="s">
        <v>34</v>
      </c>
      <c r="E912" t="s">
        <v>35</v>
      </c>
      <c r="F912">
        <v>3</v>
      </c>
      <c r="G912">
        <v>2000</v>
      </c>
      <c r="H912" t="s">
        <v>19</v>
      </c>
      <c r="I912" t="str">
        <f>_xlfn.XLOOKUP(E912,'Products Master'!A:A,'Products Master'!B:B)</f>
        <v>Storage</v>
      </c>
      <c r="J912">
        <f>_xlfn.XLOOKUP(E912,'Products Master'!A:A,'Products Master'!C:C)</f>
        <v>1200</v>
      </c>
      <c r="K912" t="str">
        <f>_xlfn.XLOOKUP(E912,'Products Master'!A:A,'Products Master'!D:D)</f>
        <v>SanDisk</v>
      </c>
      <c r="L912">
        <f t="shared" si="56"/>
        <v>6000</v>
      </c>
      <c r="M912">
        <f t="shared" si="57"/>
        <v>3600</v>
      </c>
      <c r="N912">
        <f t="shared" si="58"/>
        <v>2400</v>
      </c>
      <c r="O912" s="2">
        <f t="shared" si="59"/>
        <v>0.4</v>
      </c>
    </row>
    <row r="913" spans="1:15">
      <c r="A913" t="s">
        <v>1382</v>
      </c>
      <c r="B913" t="s">
        <v>960</v>
      </c>
      <c r="C913" t="s">
        <v>337</v>
      </c>
      <c r="D913" t="s">
        <v>111</v>
      </c>
      <c r="E913" t="s">
        <v>54</v>
      </c>
      <c r="F913">
        <v>1</v>
      </c>
      <c r="G913">
        <v>7000</v>
      </c>
      <c r="H913" t="s">
        <v>25</v>
      </c>
      <c r="I913" t="str">
        <f>_xlfn.XLOOKUP(E913,'Products Master'!A:A,'Products Master'!B:B)</f>
        <v>Accessories</v>
      </c>
      <c r="J913">
        <f>_xlfn.XLOOKUP(E913,'Products Master'!A:A,'Products Master'!C:C)</f>
        <v>5000</v>
      </c>
      <c r="K913" t="str">
        <f>_xlfn.XLOOKUP(E913,'Products Master'!A:A,'Products Master'!D:D)</f>
        <v>Sony</v>
      </c>
      <c r="L913">
        <f t="shared" si="56"/>
        <v>7000</v>
      </c>
      <c r="M913">
        <f t="shared" si="57"/>
        <v>5000</v>
      </c>
      <c r="N913">
        <f t="shared" si="58"/>
        <v>2000</v>
      </c>
      <c r="O913" s="2">
        <f t="shared" si="59"/>
        <v>0.2857142857142857</v>
      </c>
    </row>
    <row r="914" spans="1:15">
      <c r="A914" t="s">
        <v>1383</v>
      </c>
      <c r="B914" t="s">
        <v>1176</v>
      </c>
      <c r="C914" t="s">
        <v>212</v>
      </c>
      <c r="D914" t="s">
        <v>34</v>
      </c>
      <c r="E914" t="s">
        <v>124</v>
      </c>
      <c r="F914">
        <v>5</v>
      </c>
      <c r="G914">
        <v>18000</v>
      </c>
      <c r="H914" t="s">
        <v>95</v>
      </c>
      <c r="I914" t="str">
        <f>_xlfn.XLOOKUP(E914,'Products Master'!A:A,'Products Master'!B:B)</f>
        <v>Storage</v>
      </c>
      <c r="J914">
        <f>_xlfn.XLOOKUP(E914,'Products Master'!A:A,'Products Master'!C:C)</f>
        <v>12000</v>
      </c>
      <c r="K914" t="str">
        <f>_xlfn.XLOOKUP(E914,'Products Master'!A:A,'Products Master'!D:D)</f>
        <v>Kingston</v>
      </c>
      <c r="L914">
        <f t="shared" si="56"/>
        <v>90000</v>
      </c>
      <c r="M914">
        <f t="shared" si="57"/>
        <v>60000</v>
      </c>
      <c r="N914">
        <f t="shared" si="58"/>
        <v>30000</v>
      </c>
      <c r="O914" s="2">
        <f t="shared" si="59"/>
        <v>0.33333333333333331</v>
      </c>
    </row>
    <row r="915" spans="1:15">
      <c r="A915" t="s">
        <v>1384</v>
      </c>
      <c r="B915" t="s">
        <v>381</v>
      </c>
      <c r="C915" t="s">
        <v>101</v>
      </c>
      <c r="D915" t="s">
        <v>34</v>
      </c>
      <c r="E915" t="s">
        <v>12</v>
      </c>
      <c r="F915">
        <v>5</v>
      </c>
      <c r="G915">
        <v>150000</v>
      </c>
      <c r="H915" t="s">
        <v>13</v>
      </c>
      <c r="I915" t="str">
        <f>_xlfn.XLOOKUP(E915,'Products Master'!A:A,'Products Master'!B:B)</f>
        <v>Electronics</v>
      </c>
      <c r="J915">
        <f>_xlfn.XLOOKUP(E915,'Products Master'!A:A,'Products Master'!C:C)</f>
        <v>120000</v>
      </c>
      <c r="K915" t="str">
        <f>_xlfn.XLOOKUP(E915,'Products Master'!A:A,'Products Master'!D:D)</f>
        <v>Dell</v>
      </c>
      <c r="L915">
        <f t="shared" si="56"/>
        <v>750000</v>
      </c>
      <c r="M915">
        <f t="shared" si="57"/>
        <v>600000</v>
      </c>
      <c r="N915">
        <f t="shared" si="58"/>
        <v>150000</v>
      </c>
      <c r="O915" s="2">
        <f t="shared" si="59"/>
        <v>0.2</v>
      </c>
    </row>
    <row r="916" spans="1:15">
      <c r="A916" t="s">
        <v>1385</v>
      </c>
      <c r="B916" t="s">
        <v>624</v>
      </c>
      <c r="C916" t="s">
        <v>209</v>
      </c>
      <c r="D916" t="s">
        <v>45</v>
      </c>
      <c r="E916" t="s">
        <v>12</v>
      </c>
      <c r="F916">
        <v>5</v>
      </c>
      <c r="G916">
        <v>150000</v>
      </c>
      <c r="H916" t="s">
        <v>41</v>
      </c>
      <c r="I916" t="str">
        <f>_xlfn.XLOOKUP(E916,'Products Master'!A:A,'Products Master'!B:B)</f>
        <v>Electronics</v>
      </c>
      <c r="J916">
        <f>_xlfn.XLOOKUP(E916,'Products Master'!A:A,'Products Master'!C:C)</f>
        <v>120000</v>
      </c>
      <c r="K916" t="str">
        <f>_xlfn.XLOOKUP(E916,'Products Master'!A:A,'Products Master'!D:D)</f>
        <v>Dell</v>
      </c>
      <c r="L916">
        <f t="shared" si="56"/>
        <v>750000</v>
      </c>
      <c r="M916">
        <f t="shared" si="57"/>
        <v>600000</v>
      </c>
      <c r="N916">
        <f t="shared" si="58"/>
        <v>150000</v>
      </c>
      <c r="O916" s="2">
        <f t="shared" si="59"/>
        <v>0.2</v>
      </c>
    </row>
    <row r="917" spans="1:15">
      <c r="A917" t="s">
        <v>1386</v>
      </c>
      <c r="B917" t="s">
        <v>241</v>
      </c>
      <c r="C917" t="s">
        <v>526</v>
      </c>
      <c r="D917" t="s">
        <v>111</v>
      </c>
      <c r="E917" t="s">
        <v>54</v>
      </c>
      <c r="F917">
        <v>3</v>
      </c>
      <c r="G917">
        <v>7000</v>
      </c>
      <c r="H917" t="s">
        <v>13</v>
      </c>
      <c r="I917" t="str">
        <f>_xlfn.XLOOKUP(E917,'Products Master'!A:A,'Products Master'!B:B)</f>
        <v>Accessories</v>
      </c>
      <c r="J917">
        <f>_xlfn.XLOOKUP(E917,'Products Master'!A:A,'Products Master'!C:C)</f>
        <v>5000</v>
      </c>
      <c r="K917" t="str">
        <f>_xlfn.XLOOKUP(E917,'Products Master'!A:A,'Products Master'!D:D)</f>
        <v>Sony</v>
      </c>
      <c r="L917">
        <f t="shared" si="56"/>
        <v>21000</v>
      </c>
      <c r="M917">
        <f t="shared" si="57"/>
        <v>15000</v>
      </c>
      <c r="N917">
        <f t="shared" si="58"/>
        <v>6000</v>
      </c>
      <c r="O917" s="2">
        <f t="shared" si="59"/>
        <v>0.2857142857142857</v>
      </c>
    </row>
    <row r="918" spans="1:15">
      <c r="A918" t="s">
        <v>1387</v>
      </c>
      <c r="B918" t="s">
        <v>444</v>
      </c>
      <c r="C918" t="s">
        <v>77</v>
      </c>
      <c r="D918" t="s">
        <v>115</v>
      </c>
      <c r="E918" t="s">
        <v>99</v>
      </c>
      <c r="F918">
        <v>1</v>
      </c>
      <c r="G918">
        <v>5000</v>
      </c>
      <c r="H918" t="s">
        <v>36</v>
      </c>
      <c r="I918" t="str">
        <f>_xlfn.XLOOKUP(E918,'Products Master'!A:A,'Products Master'!B:B)</f>
        <v>Accessories</v>
      </c>
      <c r="J918">
        <f>_xlfn.XLOOKUP(E918,'Products Master'!A:A,'Products Master'!C:C)</f>
        <v>3500</v>
      </c>
      <c r="K918" t="str">
        <f>_xlfn.XLOOKUP(E918,'Products Master'!A:A,'Products Master'!D:D)</f>
        <v>Logitech</v>
      </c>
      <c r="L918">
        <f t="shared" si="56"/>
        <v>5000</v>
      </c>
      <c r="M918">
        <f t="shared" si="57"/>
        <v>3500</v>
      </c>
      <c r="N918">
        <f t="shared" si="58"/>
        <v>1500</v>
      </c>
      <c r="O918" s="2">
        <f t="shared" si="59"/>
        <v>0.3</v>
      </c>
    </row>
    <row r="919" spans="1:15">
      <c r="A919" t="s">
        <v>1388</v>
      </c>
      <c r="B919" t="s">
        <v>795</v>
      </c>
      <c r="C919" t="s">
        <v>576</v>
      </c>
      <c r="D919" t="s">
        <v>11</v>
      </c>
      <c r="E919" t="s">
        <v>12</v>
      </c>
      <c r="F919">
        <v>2</v>
      </c>
      <c r="G919">
        <v>150000</v>
      </c>
      <c r="H919" t="s">
        <v>95</v>
      </c>
      <c r="I919" t="str">
        <f>_xlfn.XLOOKUP(E919,'Products Master'!A:A,'Products Master'!B:B)</f>
        <v>Electronics</v>
      </c>
      <c r="J919">
        <f>_xlfn.XLOOKUP(E919,'Products Master'!A:A,'Products Master'!C:C)</f>
        <v>120000</v>
      </c>
      <c r="K919" t="str">
        <f>_xlfn.XLOOKUP(E919,'Products Master'!A:A,'Products Master'!D:D)</f>
        <v>Dell</v>
      </c>
      <c r="L919">
        <f t="shared" si="56"/>
        <v>300000</v>
      </c>
      <c r="M919">
        <f t="shared" si="57"/>
        <v>240000</v>
      </c>
      <c r="N919">
        <f t="shared" si="58"/>
        <v>60000</v>
      </c>
      <c r="O919" s="2">
        <f t="shared" si="59"/>
        <v>0.2</v>
      </c>
    </row>
    <row r="920" spans="1:15">
      <c r="A920" t="s">
        <v>1389</v>
      </c>
      <c r="B920" t="s">
        <v>783</v>
      </c>
      <c r="C920" t="s">
        <v>539</v>
      </c>
      <c r="D920" t="s">
        <v>115</v>
      </c>
      <c r="E920" t="s">
        <v>35</v>
      </c>
      <c r="F920">
        <v>2</v>
      </c>
      <c r="G920">
        <v>2000</v>
      </c>
      <c r="H920" t="s">
        <v>66</v>
      </c>
      <c r="I920" t="str">
        <f>_xlfn.XLOOKUP(E920,'Products Master'!A:A,'Products Master'!B:B)</f>
        <v>Storage</v>
      </c>
      <c r="J920">
        <f>_xlfn.XLOOKUP(E920,'Products Master'!A:A,'Products Master'!C:C)</f>
        <v>1200</v>
      </c>
      <c r="K920" t="str">
        <f>_xlfn.XLOOKUP(E920,'Products Master'!A:A,'Products Master'!D:D)</f>
        <v>SanDisk</v>
      </c>
      <c r="L920">
        <f t="shared" si="56"/>
        <v>4000</v>
      </c>
      <c r="M920">
        <f t="shared" si="57"/>
        <v>2400</v>
      </c>
      <c r="N920">
        <f t="shared" si="58"/>
        <v>1600</v>
      </c>
      <c r="O920" s="2">
        <f t="shared" si="59"/>
        <v>0.4</v>
      </c>
    </row>
    <row r="921" spans="1:15">
      <c r="A921" t="s">
        <v>1390</v>
      </c>
      <c r="B921" t="s">
        <v>833</v>
      </c>
      <c r="C921" t="s">
        <v>74</v>
      </c>
      <c r="D921" t="s">
        <v>29</v>
      </c>
      <c r="E921" t="s">
        <v>40</v>
      </c>
      <c r="F921">
        <v>3</v>
      </c>
      <c r="G921">
        <v>60000</v>
      </c>
      <c r="H921" t="s">
        <v>30</v>
      </c>
      <c r="I921" t="str">
        <f>_xlfn.XLOOKUP(E921,'Products Master'!A:A,'Products Master'!B:B)</f>
        <v>Electronics</v>
      </c>
      <c r="J921">
        <f>_xlfn.XLOOKUP(E921,'Products Master'!A:A,'Products Master'!C:C)</f>
        <v>50000</v>
      </c>
      <c r="K921" t="str">
        <f>_xlfn.XLOOKUP(E921,'Products Master'!A:A,'Products Master'!D:D)</f>
        <v>LG</v>
      </c>
      <c r="L921">
        <f t="shared" si="56"/>
        <v>180000</v>
      </c>
      <c r="M921">
        <f t="shared" si="57"/>
        <v>150000</v>
      </c>
      <c r="N921">
        <f t="shared" si="58"/>
        <v>30000</v>
      </c>
      <c r="O921" s="2">
        <f t="shared" si="59"/>
        <v>0.16666666666666666</v>
      </c>
    </row>
    <row r="922" spans="1:15">
      <c r="A922" t="s">
        <v>1391</v>
      </c>
      <c r="B922" t="s">
        <v>229</v>
      </c>
      <c r="C922" t="s">
        <v>94</v>
      </c>
      <c r="D922" t="s">
        <v>11</v>
      </c>
      <c r="E922" t="s">
        <v>49</v>
      </c>
      <c r="F922">
        <v>5</v>
      </c>
      <c r="G922">
        <v>9500</v>
      </c>
      <c r="H922" t="s">
        <v>30</v>
      </c>
      <c r="I922" t="str">
        <f>_xlfn.XLOOKUP(E922,'Products Master'!A:A,'Products Master'!B:B)</f>
        <v>Accessories</v>
      </c>
      <c r="J922">
        <f>_xlfn.XLOOKUP(E922,'Products Master'!A:A,'Products Master'!C:C)</f>
        <v>7000</v>
      </c>
      <c r="K922" t="str">
        <f>_xlfn.XLOOKUP(E922,'Products Master'!A:A,'Products Master'!D:D)</f>
        <v>Logitech</v>
      </c>
      <c r="L922">
        <f t="shared" si="56"/>
        <v>47500</v>
      </c>
      <c r="M922">
        <f t="shared" si="57"/>
        <v>35000</v>
      </c>
      <c r="N922">
        <f t="shared" si="58"/>
        <v>12500</v>
      </c>
      <c r="O922" s="2">
        <f t="shared" si="59"/>
        <v>0.26315789473684209</v>
      </c>
    </row>
    <row r="923" spans="1:15">
      <c r="A923" t="s">
        <v>1392</v>
      </c>
      <c r="B923" t="s">
        <v>1393</v>
      </c>
      <c r="C923" t="s">
        <v>212</v>
      </c>
      <c r="D923" t="s">
        <v>23</v>
      </c>
      <c r="E923" t="s">
        <v>24</v>
      </c>
      <c r="F923">
        <v>3</v>
      </c>
      <c r="G923">
        <v>2500</v>
      </c>
      <c r="H923" t="s">
        <v>66</v>
      </c>
      <c r="I923" t="str">
        <f>_xlfn.XLOOKUP(E923,'Products Master'!A:A,'Products Master'!B:B)</f>
        <v>Accessories</v>
      </c>
      <c r="J923">
        <f>_xlfn.XLOOKUP(E923,'Products Master'!A:A,'Products Master'!C:C)</f>
        <v>1500</v>
      </c>
      <c r="K923" t="str">
        <f>_xlfn.XLOOKUP(E923,'Products Master'!A:A,'Products Master'!D:D)</f>
        <v>Logitech</v>
      </c>
      <c r="L923">
        <f t="shared" si="56"/>
        <v>7500</v>
      </c>
      <c r="M923">
        <f t="shared" si="57"/>
        <v>4500</v>
      </c>
      <c r="N923">
        <f t="shared" si="58"/>
        <v>3000</v>
      </c>
      <c r="O923" s="2">
        <f t="shared" si="59"/>
        <v>0.4</v>
      </c>
    </row>
    <row r="924" spans="1:15">
      <c r="A924" t="s">
        <v>1394</v>
      </c>
      <c r="B924" t="s">
        <v>670</v>
      </c>
      <c r="C924" t="s">
        <v>432</v>
      </c>
      <c r="D924" t="s">
        <v>23</v>
      </c>
      <c r="E924" t="s">
        <v>124</v>
      </c>
      <c r="F924">
        <v>3</v>
      </c>
      <c r="G924">
        <v>18000</v>
      </c>
      <c r="H924" t="s">
        <v>19</v>
      </c>
      <c r="I924" t="str">
        <f>_xlfn.XLOOKUP(E924,'Products Master'!A:A,'Products Master'!B:B)</f>
        <v>Storage</v>
      </c>
      <c r="J924">
        <f>_xlfn.XLOOKUP(E924,'Products Master'!A:A,'Products Master'!C:C)</f>
        <v>12000</v>
      </c>
      <c r="K924" t="str">
        <f>_xlfn.XLOOKUP(E924,'Products Master'!A:A,'Products Master'!D:D)</f>
        <v>Kingston</v>
      </c>
      <c r="L924">
        <f t="shared" si="56"/>
        <v>54000</v>
      </c>
      <c r="M924">
        <f t="shared" si="57"/>
        <v>36000</v>
      </c>
      <c r="N924">
        <f t="shared" si="58"/>
        <v>18000</v>
      </c>
      <c r="O924" s="2">
        <f t="shared" si="59"/>
        <v>0.33333333333333331</v>
      </c>
    </row>
    <row r="925" spans="1:15">
      <c r="A925" t="s">
        <v>1395</v>
      </c>
      <c r="B925" t="s">
        <v>307</v>
      </c>
      <c r="C925" t="s">
        <v>167</v>
      </c>
      <c r="D925" t="s">
        <v>23</v>
      </c>
      <c r="E925" t="s">
        <v>35</v>
      </c>
      <c r="F925">
        <v>2</v>
      </c>
      <c r="G925">
        <v>2000</v>
      </c>
      <c r="H925" t="s">
        <v>30</v>
      </c>
      <c r="I925" t="str">
        <f>_xlfn.XLOOKUP(E925,'Products Master'!A:A,'Products Master'!B:B)</f>
        <v>Storage</v>
      </c>
      <c r="J925">
        <f>_xlfn.XLOOKUP(E925,'Products Master'!A:A,'Products Master'!C:C)</f>
        <v>1200</v>
      </c>
      <c r="K925" t="str">
        <f>_xlfn.XLOOKUP(E925,'Products Master'!A:A,'Products Master'!D:D)</f>
        <v>SanDisk</v>
      </c>
      <c r="L925">
        <f t="shared" si="56"/>
        <v>4000</v>
      </c>
      <c r="M925">
        <f t="shared" si="57"/>
        <v>2400</v>
      </c>
      <c r="N925">
        <f t="shared" si="58"/>
        <v>1600</v>
      </c>
      <c r="O925" s="2">
        <f t="shared" si="59"/>
        <v>0.4</v>
      </c>
    </row>
    <row r="926" spans="1:15">
      <c r="A926" t="s">
        <v>1396</v>
      </c>
      <c r="B926" t="s">
        <v>1052</v>
      </c>
      <c r="C926" t="s">
        <v>104</v>
      </c>
      <c r="D926" t="s">
        <v>34</v>
      </c>
      <c r="E926" t="s">
        <v>40</v>
      </c>
      <c r="F926">
        <v>1</v>
      </c>
      <c r="G926">
        <v>60000</v>
      </c>
      <c r="H926" t="s">
        <v>95</v>
      </c>
      <c r="I926" t="str">
        <f>_xlfn.XLOOKUP(E926,'Products Master'!A:A,'Products Master'!B:B)</f>
        <v>Electronics</v>
      </c>
      <c r="J926">
        <f>_xlfn.XLOOKUP(E926,'Products Master'!A:A,'Products Master'!C:C)</f>
        <v>50000</v>
      </c>
      <c r="K926" t="str">
        <f>_xlfn.XLOOKUP(E926,'Products Master'!A:A,'Products Master'!D:D)</f>
        <v>LG</v>
      </c>
      <c r="L926">
        <f t="shared" si="56"/>
        <v>60000</v>
      </c>
      <c r="M926">
        <f t="shared" si="57"/>
        <v>50000</v>
      </c>
      <c r="N926">
        <f t="shared" si="58"/>
        <v>10000</v>
      </c>
      <c r="O926" s="2">
        <f t="shared" si="59"/>
        <v>0.16666666666666666</v>
      </c>
    </row>
    <row r="927" spans="1:15">
      <c r="A927" t="s">
        <v>1397</v>
      </c>
      <c r="B927" t="s">
        <v>1034</v>
      </c>
      <c r="C927" t="s">
        <v>703</v>
      </c>
      <c r="D927" t="s">
        <v>45</v>
      </c>
      <c r="E927" t="s">
        <v>54</v>
      </c>
      <c r="F927">
        <v>5</v>
      </c>
      <c r="G927">
        <v>7000</v>
      </c>
      <c r="H927" t="s">
        <v>36</v>
      </c>
      <c r="I927" t="str">
        <f>_xlfn.XLOOKUP(E927,'Products Master'!A:A,'Products Master'!B:B)</f>
        <v>Accessories</v>
      </c>
      <c r="J927">
        <f>_xlfn.XLOOKUP(E927,'Products Master'!A:A,'Products Master'!C:C)</f>
        <v>5000</v>
      </c>
      <c r="K927" t="str">
        <f>_xlfn.XLOOKUP(E927,'Products Master'!A:A,'Products Master'!D:D)</f>
        <v>Sony</v>
      </c>
      <c r="L927">
        <f t="shared" si="56"/>
        <v>35000</v>
      </c>
      <c r="M927">
        <f t="shared" si="57"/>
        <v>25000</v>
      </c>
      <c r="N927">
        <f t="shared" si="58"/>
        <v>10000</v>
      </c>
      <c r="O927" s="2">
        <f t="shared" si="59"/>
        <v>0.2857142857142857</v>
      </c>
    </row>
    <row r="928" spans="1:15">
      <c r="A928" t="s">
        <v>1398</v>
      </c>
      <c r="B928" t="s">
        <v>1034</v>
      </c>
      <c r="C928" t="s">
        <v>403</v>
      </c>
      <c r="D928" t="s">
        <v>111</v>
      </c>
      <c r="E928" t="s">
        <v>18</v>
      </c>
      <c r="F928">
        <v>4</v>
      </c>
      <c r="G928">
        <v>45000</v>
      </c>
      <c r="H928" t="s">
        <v>25</v>
      </c>
      <c r="I928" t="str">
        <f>_xlfn.XLOOKUP(E928,'Products Master'!A:A,'Products Master'!B:B)</f>
        <v>Electronics</v>
      </c>
      <c r="J928">
        <f>_xlfn.XLOOKUP(E928,'Products Master'!A:A,'Products Master'!C:C)</f>
        <v>35000</v>
      </c>
      <c r="K928" t="str">
        <f>_xlfn.XLOOKUP(E928,'Products Master'!A:A,'Products Master'!D:D)</f>
        <v>HP</v>
      </c>
      <c r="L928">
        <f t="shared" si="56"/>
        <v>180000</v>
      </c>
      <c r="M928">
        <f t="shared" si="57"/>
        <v>140000</v>
      </c>
      <c r="N928">
        <f t="shared" si="58"/>
        <v>40000</v>
      </c>
      <c r="O928" s="2">
        <f t="shared" si="59"/>
        <v>0.22222222222222221</v>
      </c>
    </row>
    <row r="929" spans="1:15">
      <c r="A929" t="s">
        <v>1399</v>
      </c>
      <c r="B929" t="s">
        <v>805</v>
      </c>
      <c r="C929" t="s">
        <v>491</v>
      </c>
      <c r="D929" t="s">
        <v>115</v>
      </c>
      <c r="E929" t="s">
        <v>24</v>
      </c>
      <c r="F929">
        <v>3</v>
      </c>
      <c r="G929">
        <v>2500</v>
      </c>
      <c r="H929" t="s">
        <v>66</v>
      </c>
      <c r="I929" t="str">
        <f>_xlfn.XLOOKUP(E929,'Products Master'!A:A,'Products Master'!B:B)</f>
        <v>Accessories</v>
      </c>
      <c r="J929">
        <f>_xlfn.XLOOKUP(E929,'Products Master'!A:A,'Products Master'!C:C)</f>
        <v>1500</v>
      </c>
      <c r="K929" t="str">
        <f>_xlfn.XLOOKUP(E929,'Products Master'!A:A,'Products Master'!D:D)</f>
        <v>Logitech</v>
      </c>
      <c r="L929">
        <f t="shared" si="56"/>
        <v>7500</v>
      </c>
      <c r="M929">
        <f t="shared" si="57"/>
        <v>4500</v>
      </c>
      <c r="N929">
        <f t="shared" si="58"/>
        <v>3000</v>
      </c>
      <c r="O929" s="2">
        <f t="shared" si="59"/>
        <v>0.4</v>
      </c>
    </row>
    <row r="930" spans="1:15">
      <c r="A930" t="s">
        <v>1400</v>
      </c>
      <c r="B930" t="s">
        <v>223</v>
      </c>
      <c r="C930" t="s">
        <v>536</v>
      </c>
      <c r="D930" t="s">
        <v>23</v>
      </c>
      <c r="E930" t="s">
        <v>18</v>
      </c>
      <c r="F930">
        <v>4</v>
      </c>
      <c r="G930">
        <v>45000</v>
      </c>
      <c r="H930" t="s">
        <v>30</v>
      </c>
      <c r="I930" t="str">
        <f>_xlfn.XLOOKUP(E930,'Products Master'!A:A,'Products Master'!B:B)</f>
        <v>Electronics</v>
      </c>
      <c r="J930">
        <f>_xlfn.XLOOKUP(E930,'Products Master'!A:A,'Products Master'!C:C)</f>
        <v>35000</v>
      </c>
      <c r="K930" t="str">
        <f>_xlfn.XLOOKUP(E930,'Products Master'!A:A,'Products Master'!D:D)</f>
        <v>HP</v>
      </c>
      <c r="L930">
        <f t="shared" si="56"/>
        <v>180000</v>
      </c>
      <c r="M930">
        <f t="shared" si="57"/>
        <v>140000</v>
      </c>
      <c r="N930">
        <f t="shared" si="58"/>
        <v>40000</v>
      </c>
      <c r="O930" s="2">
        <f t="shared" si="59"/>
        <v>0.22222222222222221</v>
      </c>
    </row>
    <row r="931" spans="1:15">
      <c r="A931" t="s">
        <v>1401</v>
      </c>
      <c r="B931" t="s">
        <v>1193</v>
      </c>
      <c r="C931" t="s">
        <v>22</v>
      </c>
      <c r="D931" t="s">
        <v>45</v>
      </c>
      <c r="E931" t="s">
        <v>124</v>
      </c>
      <c r="F931">
        <v>5</v>
      </c>
      <c r="G931">
        <v>18000</v>
      </c>
      <c r="H931" t="s">
        <v>13</v>
      </c>
      <c r="I931" t="str">
        <f>_xlfn.XLOOKUP(E931,'Products Master'!A:A,'Products Master'!B:B)</f>
        <v>Storage</v>
      </c>
      <c r="J931">
        <f>_xlfn.XLOOKUP(E931,'Products Master'!A:A,'Products Master'!C:C)</f>
        <v>12000</v>
      </c>
      <c r="K931" t="str">
        <f>_xlfn.XLOOKUP(E931,'Products Master'!A:A,'Products Master'!D:D)</f>
        <v>Kingston</v>
      </c>
      <c r="L931">
        <f t="shared" si="56"/>
        <v>90000</v>
      </c>
      <c r="M931">
        <f t="shared" si="57"/>
        <v>60000</v>
      </c>
      <c r="N931">
        <f t="shared" si="58"/>
        <v>30000</v>
      </c>
      <c r="O931" s="2">
        <f t="shared" si="59"/>
        <v>0.33333333333333331</v>
      </c>
    </row>
    <row r="932" spans="1:15">
      <c r="A932" t="s">
        <v>1402</v>
      </c>
      <c r="B932" t="s">
        <v>133</v>
      </c>
      <c r="C932" t="s">
        <v>454</v>
      </c>
      <c r="D932" t="s">
        <v>23</v>
      </c>
      <c r="E932" t="s">
        <v>18</v>
      </c>
      <c r="F932">
        <v>2</v>
      </c>
      <c r="G932">
        <v>45000</v>
      </c>
      <c r="H932" t="s">
        <v>116</v>
      </c>
      <c r="I932" t="str">
        <f>_xlfn.XLOOKUP(E932,'Products Master'!A:A,'Products Master'!B:B)</f>
        <v>Electronics</v>
      </c>
      <c r="J932">
        <f>_xlfn.XLOOKUP(E932,'Products Master'!A:A,'Products Master'!C:C)</f>
        <v>35000</v>
      </c>
      <c r="K932" t="str">
        <f>_xlfn.XLOOKUP(E932,'Products Master'!A:A,'Products Master'!D:D)</f>
        <v>HP</v>
      </c>
      <c r="L932">
        <f t="shared" si="56"/>
        <v>90000</v>
      </c>
      <c r="M932">
        <f t="shared" si="57"/>
        <v>70000</v>
      </c>
      <c r="N932">
        <f t="shared" si="58"/>
        <v>20000</v>
      </c>
      <c r="O932" s="2">
        <f t="shared" si="59"/>
        <v>0.22222222222222221</v>
      </c>
    </row>
    <row r="933" spans="1:15">
      <c r="A933" t="s">
        <v>1403</v>
      </c>
      <c r="B933" t="s">
        <v>486</v>
      </c>
      <c r="C933" t="s">
        <v>370</v>
      </c>
      <c r="D933" t="s">
        <v>23</v>
      </c>
      <c r="E933" t="s">
        <v>18</v>
      </c>
      <c r="F933">
        <v>4</v>
      </c>
      <c r="G933">
        <v>45000</v>
      </c>
      <c r="H933" t="s">
        <v>13</v>
      </c>
      <c r="I933" t="str">
        <f>_xlfn.XLOOKUP(E933,'Products Master'!A:A,'Products Master'!B:B)</f>
        <v>Electronics</v>
      </c>
      <c r="J933">
        <f>_xlfn.XLOOKUP(E933,'Products Master'!A:A,'Products Master'!C:C)</f>
        <v>35000</v>
      </c>
      <c r="K933" t="str">
        <f>_xlfn.XLOOKUP(E933,'Products Master'!A:A,'Products Master'!D:D)</f>
        <v>HP</v>
      </c>
      <c r="L933">
        <f t="shared" si="56"/>
        <v>180000</v>
      </c>
      <c r="M933">
        <f t="shared" si="57"/>
        <v>140000</v>
      </c>
      <c r="N933">
        <f t="shared" si="58"/>
        <v>40000</v>
      </c>
      <c r="O933" s="2">
        <f t="shared" si="59"/>
        <v>0.22222222222222221</v>
      </c>
    </row>
    <row r="934" spans="1:15">
      <c r="A934" t="s">
        <v>1404</v>
      </c>
      <c r="B934" t="s">
        <v>1405</v>
      </c>
      <c r="C934" t="s">
        <v>119</v>
      </c>
      <c r="D934" t="s">
        <v>17</v>
      </c>
      <c r="E934" t="s">
        <v>49</v>
      </c>
      <c r="F934">
        <v>3</v>
      </c>
      <c r="G934">
        <v>9500</v>
      </c>
      <c r="H934" t="s">
        <v>13</v>
      </c>
      <c r="I934" t="str">
        <f>_xlfn.XLOOKUP(E934,'Products Master'!A:A,'Products Master'!B:B)</f>
        <v>Accessories</v>
      </c>
      <c r="J934">
        <f>_xlfn.XLOOKUP(E934,'Products Master'!A:A,'Products Master'!C:C)</f>
        <v>7000</v>
      </c>
      <c r="K934" t="str">
        <f>_xlfn.XLOOKUP(E934,'Products Master'!A:A,'Products Master'!D:D)</f>
        <v>Logitech</v>
      </c>
      <c r="L934">
        <f t="shared" si="56"/>
        <v>28500</v>
      </c>
      <c r="M934">
        <f t="shared" si="57"/>
        <v>21000</v>
      </c>
      <c r="N934">
        <f t="shared" si="58"/>
        <v>7500</v>
      </c>
      <c r="O934" s="2">
        <f t="shared" si="59"/>
        <v>0.26315789473684209</v>
      </c>
    </row>
    <row r="935" spans="1:15">
      <c r="A935" t="s">
        <v>1406</v>
      </c>
      <c r="B935" t="s">
        <v>702</v>
      </c>
      <c r="C935" t="s">
        <v>831</v>
      </c>
      <c r="D935" t="s">
        <v>45</v>
      </c>
      <c r="E935" t="s">
        <v>179</v>
      </c>
      <c r="F935">
        <v>2</v>
      </c>
      <c r="G935">
        <v>80000</v>
      </c>
      <c r="H935" t="s">
        <v>19</v>
      </c>
      <c r="I935" t="str">
        <f>_xlfn.XLOOKUP(E935,'Products Master'!A:A,'Products Master'!B:B)</f>
        <v>Electronics</v>
      </c>
      <c r="J935">
        <f>_xlfn.XLOOKUP(E935,'Products Master'!A:A,'Products Master'!C:C)</f>
        <v>65000</v>
      </c>
      <c r="K935" t="str">
        <f>_xlfn.XLOOKUP(E935,'Products Master'!A:A,'Products Master'!D:D)</f>
        <v>Samsung</v>
      </c>
      <c r="L935">
        <f t="shared" si="56"/>
        <v>160000</v>
      </c>
      <c r="M935">
        <f t="shared" si="57"/>
        <v>130000</v>
      </c>
      <c r="N935">
        <f t="shared" si="58"/>
        <v>30000</v>
      </c>
      <c r="O935" s="2">
        <f t="shared" si="59"/>
        <v>0.1875</v>
      </c>
    </row>
    <row r="936" spans="1:15">
      <c r="A936" t="s">
        <v>1407</v>
      </c>
      <c r="B936" t="s">
        <v>324</v>
      </c>
      <c r="C936" t="s">
        <v>94</v>
      </c>
      <c r="D936" t="s">
        <v>29</v>
      </c>
      <c r="E936" t="s">
        <v>179</v>
      </c>
      <c r="F936">
        <v>4</v>
      </c>
      <c r="G936">
        <v>80000</v>
      </c>
      <c r="H936" t="s">
        <v>19</v>
      </c>
      <c r="I936" t="str">
        <f>_xlfn.XLOOKUP(E936,'Products Master'!A:A,'Products Master'!B:B)</f>
        <v>Electronics</v>
      </c>
      <c r="J936">
        <f>_xlfn.XLOOKUP(E936,'Products Master'!A:A,'Products Master'!C:C)</f>
        <v>65000</v>
      </c>
      <c r="K936" t="str">
        <f>_xlfn.XLOOKUP(E936,'Products Master'!A:A,'Products Master'!D:D)</f>
        <v>Samsung</v>
      </c>
      <c r="L936">
        <f t="shared" si="56"/>
        <v>320000</v>
      </c>
      <c r="M936">
        <f t="shared" si="57"/>
        <v>260000</v>
      </c>
      <c r="N936">
        <f t="shared" si="58"/>
        <v>60000</v>
      </c>
      <c r="O936" s="2">
        <f t="shared" si="59"/>
        <v>0.1875</v>
      </c>
    </row>
    <row r="937" spans="1:15">
      <c r="A937" t="s">
        <v>1408</v>
      </c>
      <c r="B937" t="s">
        <v>200</v>
      </c>
      <c r="C937" t="s">
        <v>28</v>
      </c>
      <c r="D937" t="s">
        <v>34</v>
      </c>
      <c r="E937" t="s">
        <v>179</v>
      </c>
      <c r="F937">
        <v>2</v>
      </c>
      <c r="G937">
        <v>80000</v>
      </c>
      <c r="H937" t="s">
        <v>13</v>
      </c>
      <c r="I937" t="str">
        <f>_xlfn.XLOOKUP(E937,'Products Master'!A:A,'Products Master'!B:B)</f>
        <v>Electronics</v>
      </c>
      <c r="J937">
        <f>_xlfn.XLOOKUP(E937,'Products Master'!A:A,'Products Master'!C:C)</f>
        <v>65000</v>
      </c>
      <c r="K937" t="str">
        <f>_xlfn.XLOOKUP(E937,'Products Master'!A:A,'Products Master'!D:D)</f>
        <v>Samsung</v>
      </c>
      <c r="L937">
        <f t="shared" si="56"/>
        <v>160000</v>
      </c>
      <c r="M937">
        <f t="shared" si="57"/>
        <v>130000</v>
      </c>
      <c r="N937">
        <f t="shared" si="58"/>
        <v>30000</v>
      </c>
      <c r="O937" s="2">
        <f t="shared" si="59"/>
        <v>0.1875</v>
      </c>
    </row>
    <row r="938" spans="1:15">
      <c r="A938" t="s">
        <v>1409</v>
      </c>
      <c r="B938" t="s">
        <v>182</v>
      </c>
      <c r="C938" t="s">
        <v>22</v>
      </c>
      <c r="D938" t="s">
        <v>45</v>
      </c>
      <c r="E938" t="s">
        <v>179</v>
      </c>
      <c r="F938">
        <v>3</v>
      </c>
      <c r="G938">
        <v>80000</v>
      </c>
      <c r="H938" t="s">
        <v>41</v>
      </c>
      <c r="I938" t="str">
        <f>_xlfn.XLOOKUP(E938,'Products Master'!A:A,'Products Master'!B:B)</f>
        <v>Electronics</v>
      </c>
      <c r="J938">
        <f>_xlfn.XLOOKUP(E938,'Products Master'!A:A,'Products Master'!C:C)</f>
        <v>65000</v>
      </c>
      <c r="K938" t="str">
        <f>_xlfn.XLOOKUP(E938,'Products Master'!A:A,'Products Master'!D:D)</f>
        <v>Samsung</v>
      </c>
      <c r="L938">
        <f t="shared" si="56"/>
        <v>240000</v>
      </c>
      <c r="M938">
        <f t="shared" si="57"/>
        <v>195000</v>
      </c>
      <c r="N938">
        <f t="shared" si="58"/>
        <v>45000</v>
      </c>
      <c r="O938" s="2">
        <f t="shared" si="59"/>
        <v>0.1875</v>
      </c>
    </row>
    <row r="939" spans="1:15">
      <c r="A939" t="s">
        <v>1410</v>
      </c>
      <c r="B939" t="s">
        <v>123</v>
      </c>
      <c r="C939" t="s">
        <v>254</v>
      </c>
      <c r="D939" t="s">
        <v>45</v>
      </c>
      <c r="E939" t="s">
        <v>24</v>
      </c>
      <c r="F939">
        <v>5</v>
      </c>
      <c r="G939">
        <v>2500</v>
      </c>
      <c r="H939" t="s">
        <v>41</v>
      </c>
      <c r="I939" t="str">
        <f>_xlfn.XLOOKUP(E939,'Products Master'!A:A,'Products Master'!B:B)</f>
        <v>Accessories</v>
      </c>
      <c r="J939">
        <f>_xlfn.XLOOKUP(E939,'Products Master'!A:A,'Products Master'!C:C)</f>
        <v>1500</v>
      </c>
      <c r="K939" t="str">
        <f>_xlfn.XLOOKUP(E939,'Products Master'!A:A,'Products Master'!D:D)</f>
        <v>Logitech</v>
      </c>
      <c r="L939">
        <f t="shared" si="56"/>
        <v>12500</v>
      </c>
      <c r="M939">
        <f t="shared" si="57"/>
        <v>7500</v>
      </c>
      <c r="N939">
        <f t="shared" si="58"/>
        <v>5000</v>
      </c>
      <c r="O939" s="2">
        <f t="shared" si="59"/>
        <v>0.4</v>
      </c>
    </row>
    <row r="940" spans="1:15">
      <c r="A940" t="s">
        <v>1411</v>
      </c>
      <c r="B940" t="s">
        <v>398</v>
      </c>
      <c r="C940" t="s">
        <v>375</v>
      </c>
      <c r="D940" t="s">
        <v>115</v>
      </c>
      <c r="E940" t="s">
        <v>40</v>
      </c>
      <c r="F940">
        <v>3</v>
      </c>
      <c r="G940">
        <v>60000</v>
      </c>
      <c r="H940" t="s">
        <v>66</v>
      </c>
      <c r="I940" t="str">
        <f>_xlfn.XLOOKUP(E940,'Products Master'!A:A,'Products Master'!B:B)</f>
        <v>Electronics</v>
      </c>
      <c r="J940">
        <f>_xlfn.XLOOKUP(E940,'Products Master'!A:A,'Products Master'!C:C)</f>
        <v>50000</v>
      </c>
      <c r="K940" t="str">
        <f>_xlfn.XLOOKUP(E940,'Products Master'!A:A,'Products Master'!D:D)</f>
        <v>LG</v>
      </c>
      <c r="L940">
        <f t="shared" si="56"/>
        <v>180000</v>
      </c>
      <c r="M940">
        <f t="shared" si="57"/>
        <v>150000</v>
      </c>
      <c r="N940">
        <f t="shared" si="58"/>
        <v>30000</v>
      </c>
      <c r="O940" s="2">
        <f t="shared" si="59"/>
        <v>0.16666666666666666</v>
      </c>
    </row>
    <row r="941" spans="1:15">
      <c r="A941" t="s">
        <v>1412</v>
      </c>
      <c r="B941" t="s">
        <v>664</v>
      </c>
      <c r="C941" t="s">
        <v>337</v>
      </c>
      <c r="D941" t="s">
        <v>111</v>
      </c>
      <c r="E941" t="s">
        <v>49</v>
      </c>
      <c r="F941">
        <v>5</v>
      </c>
      <c r="G941">
        <v>9500</v>
      </c>
      <c r="H941" t="s">
        <v>19</v>
      </c>
      <c r="I941" t="str">
        <f>_xlfn.XLOOKUP(E941,'Products Master'!A:A,'Products Master'!B:B)</f>
        <v>Accessories</v>
      </c>
      <c r="J941">
        <f>_xlfn.XLOOKUP(E941,'Products Master'!A:A,'Products Master'!C:C)</f>
        <v>7000</v>
      </c>
      <c r="K941" t="str">
        <f>_xlfn.XLOOKUP(E941,'Products Master'!A:A,'Products Master'!D:D)</f>
        <v>Logitech</v>
      </c>
      <c r="L941">
        <f t="shared" si="56"/>
        <v>47500</v>
      </c>
      <c r="M941">
        <f t="shared" si="57"/>
        <v>35000</v>
      </c>
      <c r="N941">
        <f t="shared" si="58"/>
        <v>12500</v>
      </c>
      <c r="O941" s="2">
        <f t="shared" si="59"/>
        <v>0.26315789473684209</v>
      </c>
    </row>
    <row r="942" spans="1:15">
      <c r="A942" t="s">
        <v>1413</v>
      </c>
      <c r="B942" t="s">
        <v>641</v>
      </c>
      <c r="C942" t="s">
        <v>72</v>
      </c>
      <c r="D942" t="s">
        <v>29</v>
      </c>
      <c r="E942" t="s">
        <v>54</v>
      </c>
      <c r="F942">
        <v>3</v>
      </c>
      <c r="G942">
        <v>7000</v>
      </c>
      <c r="H942" t="s">
        <v>19</v>
      </c>
      <c r="I942" t="str">
        <f>_xlfn.XLOOKUP(E942,'Products Master'!A:A,'Products Master'!B:B)</f>
        <v>Accessories</v>
      </c>
      <c r="J942">
        <f>_xlfn.XLOOKUP(E942,'Products Master'!A:A,'Products Master'!C:C)</f>
        <v>5000</v>
      </c>
      <c r="K942" t="str">
        <f>_xlfn.XLOOKUP(E942,'Products Master'!A:A,'Products Master'!D:D)</f>
        <v>Sony</v>
      </c>
      <c r="L942">
        <f t="shared" si="56"/>
        <v>21000</v>
      </c>
      <c r="M942">
        <f t="shared" si="57"/>
        <v>15000</v>
      </c>
      <c r="N942">
        <f t="shared" si="58"/>
        <v>6000</v>
      </c>
      <c r="O942" s="2">
        <f t="shared" si="59"/>
        <v>0.2857142857142857</v>
      </c>
    </row>
    <row r="943" spans="1:15">
      <c r="A943" t="s">
        <v>1414</v>
      </c>
      <c r="B943" t="s">
        <v>1043</v>
      </c>
      <c r="C943" t="s">
        <v>729</v>
      </c>
      <c r="D943" t="s">
        <v>17</v>
      </c>
      <c r="E943" t="s">
        <v>99</v>
      </c>
      <c r="F943">
        <v>4</v>
      </c>
      <c r="G943">
        <v>5000</v>
      </c>
      <c r="H943" t="s">
        <v>50</v>
      </c>
      <c r="I943" t="str">
        <f>_xlfn.XLOOKUP(E943,'Products Master'!A:A,'Products Master'!B:B)</f>
        <v>Accessories</v>
      </c>
      <c r="J943">
        <f>_xlfn.XLOOKUP(E943,'Products Master'!A:A,'Products Master'!C:C)</f>
        <v>3500</v>
      </c>
      <c r="K943" t="str">
        <f>_xlfn.XLOOKUP(E943,'Products Master'!A:A,'Products Master'!D:D)</f>
        <v>Logitech</v>
      </c>
      <c r="L943">
        <f t="shared" si="56"/>
        <v>20000</v>
      </c>
      <c r="M943">
        <f t="shared" si="57"/>
        <v>14000</v>
      </c>
      <c r="N943">
        <f t="shared" si="58"/>
        <v>6000</v>
      </c>
      <c r="O943" s="2">
        <f t="shared" si="59"/>
        <v>0.3</v>
      </c>
    </row>
    <row r="944" spans="1:15">
      <c r="A944" t="s">
        <v>1415</v>
      </c>
      <c r="B944" t="s">
        <v>265</v>
      </c>
      <c r="C944" t="s">
        <v>189</v>
      </c>
      <c r="D944" t="s">
        <v>11</v>
      </c>
      <c r="E944" t="s">
        <v>40</v>
      </c>
      <c r="F944">
        <v>2</v>
      </c>
      <c r="G944">
        <v>60000</v>
      </c>
      <c r="H944" t="s">
        <v>36</v>
      </c>
      <c r="I944" t="str">
        <f>_xlfn.XLOOKUP(E944,'Products Master'!A:A,'Products Master'!B:B)</f>
        <v>Electronics</v>
      </c>
      <c r="J944">
        <f>_xlfn.XLOOKUP(E944,'Products Master'!A:A,'Products Master'!C:C)</f>
        <v>50000</v>
      </c>
      <c r="K944" t="str">
        <f>_xlfn.XLOOKUP(E944,'Products Master'!A:A,'Products Master'!D:D)</f>
        <v>LG</v>
      </c>
      <c r="L944">
        <f t="shared" si="56"/>
        <v>120000</v>
      </c>
      <c r="M944">
        <f t="shared" si="57"/>
        <v>100000</v>
      </c>
      <c r="N944">
        <f t="shared" si="58"/>
        <v>20000</v>
      </c>
      <c r="O944" s="2">
        <f t="shared" si="59"/>
        <v>0.16666666666666666</v>
      </c>
    </row>
    <row r="945" spans="1:15">
      <c r="A945" t="s">
        <v>1416</v>
      </c>
      <c r="B945" t="s">
        <v>113</v>
      </c>
      <c r="C945" t="s">
        <v>299</v>
      </c>
      <c r="D945" t="s">
        <v>29</v>
      </c>
      <c r="E945" t="s">
        <v>179</v>
      </c>
      <c r="F945">
        <v>1</v>
      </c>
      <c r="G945">
        <v>80000</v>
      </c>
      <c r="H945" t="s">
        <v>25</v>
      </c>
      <c r="I945" t="str">
        <f>_xlfn.XLOOKUP(E945,'Products Master'!A:A,'Products Master'!B:B)</f>
        <v>Electronics</v>
      </c>
      <c r="J945">
        <f>_xlfn.XLOOKUP(E945,'Products Master'!A:A,'Products Master'!C:C)</f>
        <v>65000</v>
      </c>
      <c r="K945" t="str">
        <f>_xlfn.XLOOKUP(E945,'Products Master'!A:A,'Products Master'!D:D)</f>
        <v>Samsung</v>
      </c>
      <c r="L945">
        <f t="shared" si="56"/>
        <v>80000</v>
      </c>
      <c r="M945">
        <f t="shared" si="57"/>
        <v>65000</v>
      </c>
      <c r="N945">
        <f t="shared" si="58"/>
        <v>15000</v>
      </c>
      <c r="O945" s="2">
        <f t="shared" si="59"/>
        <v>0.1875</v>
      </c>
    </row>
    <row r="946" spans="1:15">
      <c r="A946" t="s">
        <v>1417</v>
      </c>
      <c r="B946" t="s">
        <v>768</v>
      </c>
      <c r="C946" t="s">
        <v>230</v>
      </c>
      <c r="D946" t="s">
        <v>45</v>
      </c>
      <c r="E946" t="s">
        <v>179</v>
      </c>
      <c r="F946">
        <v>2</v>
      </c>
      <c r="G946">
        <v>80000</v>
      </c>
      <c r="H946" t="s">
        <v>50</v>
      </c>
      <c r="I946" t="str">
        <f>_xlfn.XLOOKUP(E946,'Products Master'!A:A,'Products Master'!B:B)</f>
        <v>Electronics</v>
      </c>
      <c r="J946">
        <f>_xlfn.XLOOKUP(E946,'Products Master'!A:A,'Products Master'!C:C)</f>
        <v>65000</v>
      </c>
      <c r="K946" t="str">
        <f>_xlfn.XLOOKUP(E946,'Products Master'!A:A,'Products Master'!D:D)</f>
        <v>Samsung</v>
      </c>
      <c r="L946">
        <f t="shared" si="56"/>
        <v>160000</v>
      </c>
      <c r="M946">
        <f t="shared" si="57"/>
        <v>130000</v>
      </c>
      <c r="N946">
        <f t="shared" si="58"/>
        <v>30000</v>
      </c>
      <c r="O946" s="2">
        <f t="shared" si="59"/>
        <v>0.1875</v>
      </c>
    </row>
    <row r="947" spans="1:15">
      <c r="A947" t="s">
        <v>1418</v>
      </c>
      <c r="B947" t="s">
        <v>1419</v>
      </c>
      <c r="C947" t="s">
        <v>209</v>
      </c>
      <c r="D947" t="s">
        <v>11</v>
      </c>
      <c r="E947" t="s">
        <v>12</v>
      </c>
      <c r="F947">
        <v>1</v>
      </c>
      <c r="G947">
        <v>150000</v>
      </c>
      <c r="H947" t="s">
        <v>116</v>
      </c>
      <c r="I947" t="str">
        <f>_xlfn.XLOOKUP(E947,'Products Master'!A:A,'Products Master'!B:B)</f>
        <v>Electronics</v>
      </c>
      <c r="J947">
        <f>_xlfn.XLOOKUP(E947,'Products Master'!A:A,'Products Master'!C:C)</f>
        <v>120000</v>
      </c>
      <c r="K947" t="str">
        <f>_xlfn.XLOOKUP(E947,'Products Master'!A:A,'Products Master'!D:D)</f>
        <v>Dell</v>
      </c>
      <c r="L947">
        <f t="shared" si="56"/>
        <v>150000</v>
      </c>
      <c r="M947">
        <f t="shared" si="57"/>
        <v>120000</v>
      </c>
      <c r="N947">
        <f t="shared" si="58"/>
        <v>30000</v>
      </c>
      <c r="O947" s="2">
        <f t="shared" si="59"/>
        <v>0.2</v>
      </c>
    </row>
    <row r="948" spans="1:15">
      <c r="A948" t="s">
        <v>1420</v>
      </c>
      <c r="B948" t="s">
        <v>324</v>
      </c>
      <c r="C948" t="s">
        <v>466</v>
      </c>
      <c r="D948" t="s">
        <v>29</v>
      </c>
      <c r="E948" t="s">
        <v>99</v>
      </c>
      <c r="F948">
        <v>4</v>
      </c>
      <c r="G948">
        <v>5000</v>
      </c>
      <c r="H948" t="s">
        <v>95</v>
      </c>
      <c r="I948" t="str">
        <f>_xlfn.XLOOKUP(E948,'Products Master'!A:A,'Products Master'!B:B)</f>
        <v>Accessories</v>
      </c>
      <c r="J948">
        <f>_xlfn.XLOOKUP(E948,'Products Master'!A:A,'Products Master'!C:C)</f>
        <v>3500</v>
      </c>
      <c r="K948" t="str">
        <f>_xlfn.XLOOKUP(E948,'Products Master'!A:A,'Products Master'!D:D)</f>
        <v>Logitech</v>
      </c>
      <c r="L948">
        <f t="shared" si="56"/>
        <v>20000</v>
      </c>
      <c r="M948">
        <f t="shared" si="57"/>
        <v>14000</v>
      </c>
      <c r="N948">
        <f t="shared" si="58"/>
        <v>6000</v>
      </c>
      <c r="O948" s="2">
        <f t="shared" si="59"/>
        <v>0.3</v>
      </c>
    </row>
    <row r="949" spans="1:15">
      <c r="A949" t="s">
        <v>1421</v>
      </c>
      <c r="B949" t="s">
        <v>262</v>
      </c>
      <c r="C949" t="s">
        <v>729</v>
      </c>
      <c r="D949" t="s">
        <v>17</v>
      </c>
      <c r="E949" t="s">
        <v>54</v>
      </c>
      <c r="F949">
        <v>1</v>
      </c>
      <c r="G949">
        <v>7000</v>
      </c>
      <c r="H949" t="s">
        <v>41</v>
      </c>
      <c r="I949" t="str">
        <f>_xlfn.XLOOKUP(E949,'Products Master'!A:A,'Products Master'!B:B)</f>
        <v>Accessories</v>
      </c>
      <c r="J949">
        <f>_xlfn.XLOOKUP(E949,'Products Master'!A:A,'Products Master'!C:C)</f>
        <v>5000</v>
      </c>
      <c r="K949" t="str">
        <f>_xlfn.XLOOKUP(E949,'Products Master'!A:A,'Products Master'!D:D)</f>
        <v>Sony</v>
      </c>
      <c r="L949">
        <f t="shared" si="56"/>
        <v>7000</v>
      </c>
      <c r="M949">
        <f t="shared" si="57"/>
        <v>5000</v>
      </c>
      <c r="N949">
        <f t="shared" si="58"/>
        <v>2000</v>
      </c>
      <c r="O949" s="2">
        <f t="shared" si="59"/>
        <v>0.2857142857142857</v>
      </c>
    </row>
    <row r="950" spans="1:15">
      <c r="A950" t="s">
        <v>1422</v>
      </c>
      <c r="B950" t="s">
        <v>919</v>
      </c>
      <c r="C950" t="s">
        <v>614</v>
      </c>
      <c r="D950" t="s">
        <v>17</v>
      </c>
      <c r="E950" t="s">
        <v>54</v>
      </c>
      <c r="F950">
        <v>3</v>
      </c>
      <c r="G950">
        <v>7000</v>
      </c>
      <c r="H950" t="s">
        <v>36</v>
      </c>
      <c r="I950" t="str">
        <f>_xlfn.XLOOKUP(E950,'Products Master'!A:A,'Products Master'!B:B)</f>
        <v>Accessories</v>
      </c>
      <c r="J950">
        <f>_xlfn.XLOOKUP(E950,'Products Master'!A:A,'Products Master'!C:C)</f>
        <v>5000</v>
      </c>
      <c r="K950" t="str">
        <f>_xlfn.XLOOKUP(E950,'Products Master'!A:A,'Products Master'!D:D)</f>
        <v>Sony</v>
      </c>
      <c r="L950">
        <f t="shared" si="56"/>
        <v>21000</v>
      </c>
      <c r="M950">
        <f t="shared" si="57"/>
        <v>15000</v>
      </c>
      <c r="N950">
        <f t="shared" si="58"/>
        <v>6000</v>
      </c>
      <c r="O950" s="2">
        <f t="shared" si="59"/>
        <v>0.2857142857142857</v>
      </c>
    </row>
    <row r="951" spans="1:15">
      <c r="A951" t="s">
        <v>1423</v>
      </c>
      <c r="B951" t="s">
        <v>571</v>
      </c>
      <c r="C951" t="s">
        <v>314</v>
      </c>
      <c r="D951" t="s">
        <v>17</v>
      </c>
      <c r="E951" t="s">
        <v>54</v>
      </c>
      <c r="F951">
        <v>1</v>
      </c>
      <c r="G951">
        <v>7000</v>
      </c>
      <c r="H951" t="s">
        <v>50</v>
      </c>
      <c r="I951" t="str">
        <f>_xlfn.XLOOKUP(E951,'Products Master'!A:A,'Products Master'!B:B)</f>
        <v>Accessories</v>
      </c>
      <c r="J951">
        <f>_xlfn.XLOOKUP(E951,'Products Master'!A:A,'Products Master'!C:C)</f>
        <v>5000</v>
      </c>
      <c r="K951" t="str">
        <f>_xlfn.XLOOKUP(E951,'Products Master'!A:A,'Products Master'!D:D)</f>
        <v>Sony</v>
      </c>
      <c r="L951">
        <f t="shared" si="56"/>
        <v>7000</v>
      </c>
      <c r="M951">
        <f t="shared" si="57"/>
        <v>5000</v>
      </c>
      <c r="N951">
        <f t="shared" si="58"/>
        <v>2000</v>
      </c>
      <c r="O951" s="2">
        <f t="shared" si="59"/>
        <v>0.2857142857142857</v>
      </c>
    </row>
    <row r="952" spans="1:15">
      <c r="A952" t="s">
        <v>1424</v>
      </c>
      <c r="B952" t="s">
        <v>722</v>
      </c>
      <c r="C952" t="s">
        <v>194</v>
      </c>
      <c r="D952" t="s">
        <v>34</v>
      </c>
      <c r="E952" t="s">
        <v>40</v>
      </c>
      <c r="F952">
        <v>3</v>
      </c>
      <c r="G952">
        <v>60000</v>
      </c>
      <c r="H952" t="s">
        <v>66</v>
      </c>
      <c r="I952" t="str">
        <f>_xlfn.XLOOKUP(E952,'Products Master'!A:A,'Products Master'!B:B)</f>
        <v>Electronics</v>
      </c>
      <c r="J952">
        <f>_xlfn.XLOOKUP(E952,'Products Master'!A:A,'Products Master'!C:C)</f>
        <v>50000</v>
      </c>
      <c r="K952" t="str">
        <f>_xlfn.XLOOKUP(E952,'Products Master'!A:A,'Products Master'!D:D)</f>
        <v>LG</v>
      </c>
      <c r="L952">
        <f t="shared" si="56"/>
        <v>180000</v>
      </c>
      <c r="M952">
        <f t="shared" si="57"/>
        <v>150000</v>
      </c>
      <c r="N952">
        <f t="shared" si="58"/>
        <v>30000</v>
      </c>
      <c r="O952" s="2">
        <f t="shared" si="59"/>
        <v>0.16666666666666666</v>
      </c>
    </row>
    <row r="953" spans="1:15">
      <c r="A953" t="s">
        <v>1425</v>
      </c>
      <c r="B953" t="s">
        <v>523</v>
      </c>
      <c r="C953" t="s">
        <v>10</v>
      </c>
      <c r="D953" t="s">
        <v>29</v>
      </c>
      <c r="E953" t="s">
        <v>35</v>
      </c>
      <c r="F953">
        <v>5</v>
      </c>
      <c r="G953">
        <v>2000</v>
      </c>
      <c r="H953" t="s">
        <v>66</v>
      </c>
      <c r="I953" t="str">
        <f>_xlfn.XLOOKUP(E953,'Products Master'!A:A,'Products Master'!B:B)</f>
        <v>Storage</v>
      </c>
      <c r="J953">
        <f>_xlfn.XLOOKUP(E953,'Products Master'!A:A,'Products Master'!C:C)</f>
        <v>1200</v>
      </c>
      <c r="K953" t="str">
        <f>_xlfn.XLOOKUP(E953,'Products Master'!A:A,'Products Master'!D:D)</f>
        <v>SanDisk</v>
      </c>
      <c r="L953">
        <f t="shared" si="56"/>
        <v>10000</v>
      </c>
      <c r="M953">
        <f t="shared" si="57"/>
        <v>6000</v>
      </c>
      <c r="N953">
        <f t="shared" si="58"/>
        <v>4000</v>
      </c>
      <c r="O953" s="2">
        <f t="shared" si="59"/>
        <v>0.4</v>
      </c>
    </row>
    <row r="954" spans="1:15">
      <c r="A954" t="s">
        <v>1426</v>
      </c>
      <c r="B954" t="s">
        <v>121</v>
      </c>
      <c r="C954" t="s">
        <v>630</v>
      </c>
      <c r="D954" t="s">
        <v>34</v>
      </c>
      <c r="E954" t="s">
        <v>179</v>
      </c>
      <c r="F954">
        <v>2</v>
      </c>
      <c r="G954">
        <v>80000</v>
      </c>
      <c r="H954" t="s">
        <v>41</v>
      </c>
      <c r="I954" t="str">
        <f>_xlfn.XLOOKUP(E954,'Products Master'!A:A,'Products Master'!B:B)</f>
        <v>Electronics</v>
      </c>
      <c r="J954">
        <f>_xlfn.XLOOKUP(E954,'Products Master'!A:A,'Products Master'!C:C)</f>
        <v>65000</v>
      </c>
      <c r="K954" t="str">
        <f>_xlfn.XLOOKUP(E954,'Products Master'!A:A,'Products Master'!D:D)</f>
        <v>Samsung</v>
      </c>
      <c r="L954">
        <f t="shared" si="56"/>
        <v>160000</v>
      </c>
      <c r="M954">
        <f t="shared" si="57"/>
        <v>130000</v>
      </c>
      <c r="N954">
        <f t="shared" si="58"/>
        <v>30000</v>
      </c>
      <c r="O954" s="2">
        <f t="shared" si="59"/>
        <v>0.1875</v>
      </c>
    </row>
    <row r="955" spans="1:15">
      <c r="A955" t="s">
        <v>1427</v>
      </c>
      <c r="B955" t="s">
        <v>1093</v>
      </c>
      <c r="C955" t="s">
        <v>91</v>
      </c>
      <c r="D955" t="s">
        <v>111</v>
      </c>
      <c r="E955" t="s">
        <v>54</v>
      </c>
      <c r="F955">
        <v>3</v>
      </c>
      <c r="G955">
        <v>7000</v>
      </c>
      <c r="H955" t="s">
        <v>41</v>
      </c>
      <c r="I955" t="str">
        <f>_xlfn.XLOOKUP(E955,'Products Master'!A:A,'Products Master'!B:B)</f>
        <v>Accessories</v>
      </c>
      <c r="J955">
        <f>_xlfn.XLOOKUP(E955,'Products Master'!A:A,'Products Master'!C:C)</f>
        <v>5000</v>
      </c>
      <c r="K955" t="str">
        <f>_xlfn.XLOOKUP(E955,'Products Master'!A:A,'Products Master'!D:D)</f>
        <v>Sony</v>
      </c>
      <c r="L955">
        <f t="shared" si="56"/>
        <v>21000</v>
      </c>
      <c r="M955">
        <f t="shared" si="57"/>
        <v>15000</v>
      </c>
      <c r="N955">
        <f t="shared" si="58"/>
        <v>6000</v>
      </c>
      <c r="O955" s="2">
        <f t="shared" si="59"/>
        <v>0.2857142857142857</v>
      </c>
    </row>
    <row r="956" spans="1:15">
      <c r="A956" t="s">
        <v>1428</v>
      </c>
      <c r="B956" t="s">
        <v>360</v>
      </c>
      <c r="C956" t="s">
        <v>63</v>
      </c>
      <c r="D956" t="s">
        <v>111</v>
      </c>
      <c r="E956" t="s">
        <v>12</v>
      </c>
      <c r="F956">
        <v>4</v>
      </c>
      <c r="G956">
        <v>150000</v>
      </c>
      <c r="H956" t="s">
        <v>41</v>
      </c>
      <c r="I956" t="str">
        <f>_xlfn.XLOOKUP(E956,'Products Master'!A:A,'Products Master'!B:B)</f>
        <v>Electronics</v>
      </c>
      <c r="J956">
        <f>_xlfn.XLOOKUP(E956,'Products Master'!A:A,'Products Master'!C:C)</f>
        <v>120000</v>
      </c>
      <c r="K956" t="str">
        <f>_xlfn.XLOOKUP(E956,'Products Master'!A:A,'Products Master'!D:D)</f>
        <v>Dell</v>
      </c>
      <c r="L956">
        <f t="shared" si="56"/>
        <v>600000</v>
      </c>
      <c r="M956">
        <f t="shared" si="57"/>
        <v>480000</v>
      </c>
      <c r="N956">
        <f t="shared" si="58"/>
        <v>120000</v>
      </c>
      <c r="O956" s="2">
        <f t="shared" si="59"/>
        <v>0.2</v>
      </c>
    </row>
    <row r="957" spans="1:15">
      <c r="A957" t="s">
        <v>1429</v>
      </c>
      <c r="B957" t="s">
        <v>1430</v>
      </c>
      <c r="C957" t="s">
        <v>394</v>
      </c>
      <c r="D957" t="s">
        <v>29</v>
      </c>
      <c r="E957" t="s">
        <v>49</v>
      </c>
      <c r="F957">
        <v>3</v>
      </c>
      <c r="G957">
        <v>9500</v>
      </c>
      <c r="H957" t="s">
        <v>36</v>
      </c>
      <c r="I957" t="str">
        <f>_xlfn.XLOOKUP(E957,'Products Master'!A:A,'Products Master'!B:B)</f>
        <v>Accessories</v>
      </c>
      <c r="J957">
        <f>_xlfn.XLOOKUP(E957,'Products Master'!A:A,'Products Master'!C:C)</f>
        <v>7000</v>
      </c>
      <c r="K957" t="str">
        <f>_xlfn.XLOOKUP(E957,'Products Master'!A:A,'Products Master'!D:D)</f>
        <v>Logitech</v>
      </c>
      <c r="L957">
        <f t="shared" si="56"/>
        <v>28500</v>
      </c>
      <c r="M957">
        <f t="shared" si="57"/>
        <v>21000</v>
      </c>
      <c r="N957">
        <f t="shared" si="58"/>
        <v>7500</v>
      </c>
      <c r="O957" s="2">
        <f t="shared" si="59"/>
        <v>0.26315789473684209</v>
      </c>
    </row>
    <row r="958" spans="1:15">
      <c r="A958" t="s">
        <v>1431</v>
      </c>
      <c r="B958" t="s">
        <v>352</v>
      </c>
      <c r="C958" t="s">
        <v>375</v>
      </c>
      <c r="D958" t="s">
        <v>34</v>
      </c>
      <c r="E958" t="s">
        <v>124</v>
      </c>
      <c r="F958">
        <v>3</v>
      </c>
      <c r="G958">
        <v>18000</v>
      </c>
      <c r="H958" t="s">
        <v>36</v>
      </c>
      <c r="I958" t="str">
        <f>_xlfn.XLOOKUP(E958,'Products Master'!A:A,'Products Master'!B:B)</f>
        <v>Storage</v>
      </c>
      <c r="J958">
        <f>_xlfn.XLOOKUP(E958,'Products Master'!A:A,'Products Master'!C:C)</f>
        <v>12000</v>
      </c>
      <c r="K958" t="str">
        <f>_xlfn.XLOOKUP(E958,'Products Master'!A:A,'Products Master'!D:D)</f>
        <v>Kingston</v>
      </c>
      <c r="L958">
        <f t="shared" si="56"/>
        <v>54000</v>
      </c>
      <c r="M958">
        <f t="shared" si="57"/>
        <v>36000</v>
      </c>
      <c r="N958">
        <f t="shared" si="58"/>
        <v>18000</v>
      </c>
      <c r="O958" s="2">
        <f t="shared" si="59"/>
        <v>0.33333333333333331</v>
      </c>
    </row>
    <row r="959" spans="1:15">
      <c r="A959" t="s">
        <v>1432</v>
      </c>
      <c r="B959" t="s">
        <v>551</v>
      </c>
      <c r="C959" t="s">
        <v>703</v>
      </c>
      <c r="D959" t="s">
        <v>111</v>
      </c>
      <c r="E959" t="s">
        <v>24</v>
      </c>
      <c r="F959">
        <v>1</v>
      </c>
      <c r="G959">
        <v>2500</v>
      </c>
      <c r="H959" t="s">
        <v>41</v>
      </c>
      <c r="I959" t="str">
        <f>_xlfn.XLOOKUP(E959,'Products Master'!A:A,'Products Master'!B:B)</f>
        <v>Accessories</v>
      </c>
      <c r="J959">
        <f>_xlfn.XLOOKUP(E959,'Products Master'!A:A,'Products Master'!C:C)</f>
        <v>1500</v>
      </c>
      <c r="K959" t="str">
        <f>_xlfn.XLOOKUP(E959,'Products Master'!A:A,'Products Master'!D:D)</f>
        <v>Logitech</v>
      </c>
      <c r="L959">
        <f t="shared" si="56"/>
        <v>2500</v>
      </c>
      <c r="M959">
        <f t="shared" si="57"/>
        <v>1500</v>
      </c>
      <c r="N959">
        <f t="shared" si="58"/>
        <v>1000</v>
      </c>
      <c r="O959" s="2">
        <f t="shared" si="59"/>
        <v>0.4</v>
      </c>
    </row>
    <row r="960" spans="1:15">
      <c r="A960" t="s">
        <v>1433</v>
      </c>
      <c r="B960" t="s">
        <v>243</v>
      </c>
      <c r="C960" t="s">
        <v>110</v>
      </c>
      <c r="D960" t="s">
        <v>17</v>
      </c>
      <c r="E960" t="s">
        <v>12</v>
      </c>
      <c r="F960">
        <v>2</v>
      </c>
      <c r="G960">
        <v>150000</v>
      </c>
      <c r="H960" t="s">
        <v>13</v>
      </c>
      <c r="I960" t="str">
        <f>_xlfn.XLOOKUP(E960,'Products Master'!A:A,'Products Master'!B:B)</f>
        <v>Electronics</v>
      </c>
      <c r="J960">
        <f>_xlfn.XLOOKUP(E960,'Products Master'!A:A,'Products Master'!C:C)</f>
        <v>120000</v>
      </c>
      <c r="K960" t="str">
        <f>_xlfn.XLOOKUP(E960,'Products Master'!A:A,'Products Master'!D:D)</f>
        <v>Dell</v>
      </c>
      <c r="L960">
        <f t="shared" si="56"/>
        <v>300000</v>
      </c>
      <c r="M960">
        <f t="shared" si="57"/>
        <v>240000</v>
      </c>
      <c r="N960">
        <f t="shared" si="58"/>
        <v>60000</v>
      </c>
      <c r="O960" s="2">
        <f t="shared" si="59"/>
        <v>0.2</v>
      </c>
    </row>
    <row r="961" spans="1:15">
      <c r="A961" t="s">
        <v>1434</v>
      </c>
      <c r="B961" t="s">
        <v>1405</v>
      </c>
      <c r="C961" t="s">
        <v>134</v>
      </c>
      <c r="D961" t="s">
        <v>111</v>
      </c>
      <c r="E961" t="s">
        <v>40</v>
      </c>
      <c r="F961">
        <v>4</v>
      </c>
      <c r="G961">
        <v>60000</v>
      </c>
      <c r="H961" t="s">
        <v>19</v>
      </c>
      <c r="I961" t="str">
        <f>_xlfn.XLOOKUP(E961,'Products Master'!A:A,'Products Master'!B:B)</f>
        <v>Electronics</v>
      </c>
      <c r="J961">
        <f>_xlfn.XLOOKUP(E961,'Products Master'!A:A,'Products Master'!C:C)</f>
        <v>50000</v>
      </c>
      <c r="K961" t="str">
        <f>_xlfn.XLOOKUP(E961,'Products Master'!A:A,'Products Master'!D:D)</f>
        <v>LG</v>
      </c>
      <c r="L961">
        <f t="shared" si="56"/>
        <v>240000</v>
      </c>
      <c r="M961">
        <f t="shared" si="57"/>
        <v>200000</v>
      </c>
      <c r="N961">
        <f t="shared" si="58"/>
        <v>40000</v>
      </c>
      <c r="O961" s="2">
        <f t="shared" si="59"/>
        <v>0.16666666666666666</v>
      </c>
    </row>
    <row r="962" spans="1:15">
      <c r="A962" t="s">
        <v>1435</v>
      </c>
      <c r="B962" t="s">
        <v>243</v>
      </c>
      <c r="C962" t="s">
        <v>156</v>
      </c>
      <c r="D962" t="s">
        <v>17</v>
      </c>
      <c r="E962" t="s">
        <v>18</v>
      </c>
      <c r="F962">
        <v>4</v>
      </c>
      <c r="G962">
        <v>45000</v>
      </c>
      <c r="H962" t="s">
        <v>95</v>
      </c>
      <c r="I962" t="str">
        <f>_xlfn.XLOOKUP(E962,'Products Master'!A:A,'Products Master'!B:B)</f>
        <v>Electronics</v>
      </c>
      <c r="J962">
        <f>_xlfn.XLOOKUP(E962,'Products Master'!A:A,'Products Master'!C:C)</f>
        <v>35000</v>
      </c>
      <c r="K962" t="str">
        <f>_xlfn.XLOOKUP(E962,'Products Master'!A:A,'Products Master'!D:D)</f>
        <v>HP</v>
      </c>
      <c r="L962">
        <f t="shared" si="56"/>
        <v>180000</v>
      </c>
      <c r="M962">
        <f t="shared" si="57"/>
        <v>140000</v>
      </c>
      <c r="N962">
        <f t="shared" si="58"/>
        <v>40000</v>
      </c>
      <c r="O962" s="2">
        <f t="shared" si="59"/>
        <v>0.22222222222222221</v>
      </c>
    </row>
    <row r="963" spans="1:15">
      <c r="A963" t="s">
        <v>1436</v>
      </c>
      <c r="B963" t="s">
        <v>1437</v>
      </c>
      <c r="C963" t="s">
        <v>39</v>
      </c>
      <c r="D963" t="s">
        <v>45</v>
      </c>
      <c r="E963" t="s">
        <v>54</v>
      </c>
      <c r="F963">
        <v>3</v>
      </c>
      <c r="G963">
        <v>7000</v>
      </c>
      <c r="H963" t="s">
        <v>13</v>
      </c>
      <c r="I963" t="str">
        <f>_xlfn.XLOOKUP(E963,'Products Master'!A:A,'Products Master'!B:B)</f>
        <v>Accessories</v>
      </c>
      <c r="J963">
        <f>_xlfn.XLOOKUP(E963,'Products Master'!A:A,'Products Master'!C:C)</f>
        <v>5000</v>
      </c>
      <c r="K963" t="str">
        <f>_xlfn.XLOOKUP(E963,'Products Master'!A:A,'Products Master'!D:D)</f>
        <v>Sony</v>
      </c>
      <c r="L963">
        <f t="shared" ref="L963:L1001" si="60">F963*G963</f>
        <v>21000</v>
      </c>
      <c r="M963">
        <f t="shared" ref="M963:M1001" si="61">F963*J963</f>
        <v>15000</v>
      </c>
      <c r="N963">
        <f t="shared" ref="N963:N1001" si="62">L963-M963</f>
        <v>6000</v>
      </c>
      <c r="O963" s="2">
        <f t="shared" ref="O963:O1001" si="63">N963/L963</f>
        <v>0.2857142857142857</v>
      </c>
    </row>
    <row r="964" spans="1:15">
      <c r="A964" t="s">
        <v>1438</v>
      </c>
      <c r="B964" t="s">
        <v>188</v>
      </c>
      <c r="C964" t="s">
        <v>476</v>
      </c>
      <c r="D964" t="s">
        <v>115</v>
      </c>
      <c r="E964" t="s">
        <v>12</v>
      </c>
      <c r="F964">
        <v>3</v>
      </c>
      <c r="G964">
        <v>150000</v>
      </c>
      <c r="H964" t="s">
        <v>36</v>
      </c>
      <c r="I964" t="str">
        <f>_xlfn.XLOOKUP(E964,'Products Master'!A:A,'Products Master'!B:B)</f>
        <v>Electronics</v>
      </c>
      <c r="J964">
        <f>_xlfn.XLOOKUP(E964,'Products Master'!A:A,'Products Master'!C:C)</f>
        <v>120000</v>
      </c>
      <c r="K964" t="str">
        <f>_xlfn.XLOOKUP(E964,'Products Master'!A:A,'Products Master'!D:D)</f>
        <v>Dell</v>
      </c>
      <c r="L964">
        <f t="shared" si="60"/>
        <v>450000</v>
      </c>
      <c r="M964">
        <f t="shared" si="61"/>
        <v>360000</v>
      </c>
      <c r="N964">
        <f t="shared" si="62"/>
        <v>90000</v>
      </c>
      <c r="O964" s="2">
        <f t="shared" si="63"/>
        <v>0.2</v>
      </c>
    </row>
    <row r="965" spans="1:15">
      <c r="A965" t="s">
        <v>1439</v>
      </c>
      <c r="B965" t="s">
        <v>677</v>
      </c>
      <c r="C965" t="s">
        <v>137</v>
      </c>
      <c r="D965" t="s">
        <v>115</v>
      </c>
      <c r="E965" t="s">
        <v>35</v>
      </c>
      <c r="F965">
        <v>5</v>
      </c>
      <c r="G965">
        <v>2000</v>
      </c>
      <c r="H965" t="s">
        <v>116</v>
      </c>
      <c r="I965" t="str">
        <f>_xlfn.XLOOKUP(E965,'Products Master'!A:A,'Products Master'!B:B)</f>
        <v>Storage</v>
      </c>
      <c r="J965">
        <f>_xlfn.XLOOKUP(E965,'Products Master'!A:A,'Products Master'!C:C)</f>
        <v>1200</v>
      </c>
      <c r="K965" t="str">
        <f>_xlfn.XLOOKUP(E965,'Products Master'!A:A,'Products Master'!D:D)</f>
        <v>SanDisk</v>
      </c>
      <c r="L965">
        <f t="shared" si="60"/>
        <v>10000</v>
      </c>
      <c r="M965">
        <f t="shared" si="61"/>
        <v>6000</v>
      </c>
      <c r="N965">
        <f t="shared" si="62"/>
        <v>4000</v>
      </c>
      <c r="O965" s="2">
        <f t="shared" si="63"/>
        <v>0.4</v>
      </c>
    </row>
    <row r="966" spans="1:15">
      <c r="A966" t="s">
        <v>1440</v>
      </c>
      <c r="B966" t="s">
        <v>1188</v>
      </c>
      <c r="C966" t="s">
        <v>170</v>
      </c>
      <c r="D966" t="s">
        <v>115</v>
      </c>
      <c r="E966" t="s">
        <v>179</v>
      </c>
      <c r="F966">
        <v>3</v>
      </c>
      <c r="G966">
        <v>80000</v>
      </c>
      <c r="H966" t="s">
        <v>116</v>
      </c>
      <c r="I966" t="str">
        <f>_xlfn.XLOOKUP(E966,'Products Master'!A:A,'Products Master'!B:B)</f>
        <v>Electronics</v>
      </c>
      <c r="J966">
        <f>_xlfn.XLOOKUP(E966,'Products Master'!A:A,'Products Master'!C:C)</f>
        <v>65000</v>
      </c>
      <c r="K966" t="str">
        <f>_xlfn.XLOOKUP(E966,'Products Master'!A:A,'Products Master'!D:D)</f>
        <v>Samsung</v>
      </c>
      <c r="L966">
        <f t="shared" si="60"/>
        <v>240000</v>
      </c>
      <c r="M966">
        <f t="shared" si="61"/>
        <v>195000</v>
      </c>
      <c r="N966">
        <f t="shared" si="62"/>
        <v>45000</v>
      </c>
      <c r="O966" s="2">
        <f t="shared" si="63"/>
        <v>0.1875</v>
      </c>
    </row>
    <row r="967" spans="1:15">
      <c r="A967" t="s">
        <v>1441</v>
      </c>
      <c r="B967" t="s">
        <v>265</v>
      </c>
      <c r="C967" t="s">
        <v>189</v>
      </c>
      <c r="D967" t="s">
        <v>111</v>
      </c>
      <c r="E967" t="s">
        <v>54</v>
      </c>
      <c r="F967">
        <v>5</v>
      </c>
      <c r="G967">
        <v>7000</v>
      </c>
      <c r="H967" t="s">
        <v>41</v>
      </c>
      <c r="I967" t="str">
        <f>_xlfn.XLOOKUP(E967,'Products Master'!A:A,'Products Master'!B:B)</f>
        <v>Accessories</v>
      </c>
      <c r="J967">
        <f>_xlfn.XLOOKUP(E967,'Products Master'!A:A,'Products Master'!C:C)</f>
        <v>5000</v>
      </c>
      <c r="K967" t="str">
        <f>_xlfn.XLOOKUP(E967,'Products Master'!A:A,'Products Master'!D:D)</f>
        <v>Sony</v>
      </c>
      <c r="L967">
        <f t="shared" si="60"/>
        <v>35000</v>
      </c>
      <c r="M967">
        <f t="shared" si="61"/>
        <v>25000</v>
      </c>
      <c r="N967">
        <f t="shared" si="62"/>
        <v>10000</v>
      </c>
      <c r="O967" s="2">
        <f t="shared" si="63"/>
        <v>0.2857142857142857</v>
      </c>
    </row>
    <row r="968" spans="1:15">
      <c r="A968" t="s">
        <v>1442</v>
      </c>
      <c r="B968" t="s">
        <v>1004</v>
      </c>
      <c r="C968" t="s">
        <v>729</v>
      </c>
      <c r="D968" t="s">
        <v>45</v>
      </c>
      <c r="E968" t="s">
        <v>35</v>
      </c>
      <c r="F968">
        <v>4</v>
      </c>
      <c r="G968">
        <v>2000</v>
      </c>
      <c r="H968" t="s">
        <v>95</v>
      </c>
      <c r="I968" t="str">
        <f>_xlfn.XLOOKUP(E968,'Products Master'!A:A,'Products Master'!B:B)</f>
        <v>Storage</v>
      </c>
      <c r="J968">
        <f>_xlfn.XLOOKUP(E968,'Products Master'!A:A,'Products Master'!C:C)</f>
        <v>1200</v>
      </c>
      <c r="K968" t="str">
        <f>_xlfn.XLOOKUP(E968,'Products Master'!A:A,'Products Master'!D:D)</f>
        <v>SanDisk</v>
      </c>
      <c r="L968">
        <f t="shared" si="60"/>
        <v>8000</v>
      </c>
      <c r="M968">
        <f t="shared" si="61"/>
        <v>4800</v>
      </c>
      <c r="N968">
        <f t="shared" si="62"/>
        <v>3200</v>
      </c>
      <c r="O968" s="2">
        <f t="shared" si="63"/>
        <v>0.4</v>
      </c>
    </row>
    <row r="969" spans="1:15">
      <c r="A969" t="s">
        <v>1443</v>
      </c>
      <c r="B969" t="s">
        <v>606</v>
      </c>
      <c r="C969" t="s">
        <v>63</v>
      </c>
      <c r="D969" t="s">
        <v>11</v>
      </c>
      <c r="E969" t="s">
        <v>54</v>
      </c>
      <c r="F969">
        <v>4</v>
      </c>
      <c r="G969">
        <v>7000</v>
      </c>
      <c r="H969" t="s">
        <v>19</v>
      </c>
      <c r="I969" t="str">
        <f>_xlfn.XLOOKUP(E969,'Products Master'!A:A,'Products Master'!B:B)</f>
        <v>Accessories</v>
      </c>
      <c r="J969">
        <f>_xlfn.XLOOKUP(E969,'Products Master'!A:A,'Products Master'!C:C)</f>
        <v>5000</v>
      </c>
      <c r="K969" t="str">
        <f>_xlfn.XLOOKUP(E969,'Products Master'!A:A,'Products Master'!D:D)</f>
        <v>Sony</v>
      </c>
      <c r="L969">
        <f t="shared" si="60"/>
        <v>28000</v>
      </c>
      <c r="M969">
        <f t="shared" si="61"/>
        <v>20000</v>
      </c>
      <c r="N969">
        <f t="shared" si="62"/>
        <v>8000</v>
      </c>
      <c r="O969" s="2">
        <f t="shared" si="63"/>
        <v>0.2857142857142857</v>
      </c>
    </row>
    <row r="970" spans="1:15">
      <c r="A970" t="s">
        <v>1444</v>
      </c>
      <c r="B970" t="s">
        <v>1120</v>
      </c>
      <c r="C970" t="s">
        <v>341</v>
      </c>
      <c r="D970" t="s">
        <v>115</v>
      </c>
      <c r="E970" t="s">
        <v>24</v>
      </c>
      <c r="F970">
        <v>5</v>
      </c>
      <c r="G970">
        <v>2500</v>
      </c>
      <c r="H970" t="s">
        <v>41</v>
      </c>
      <c r="I970" t="str">
        <f>_xlfn.XLOOKUP(E970,'Products Master'!A:A,'Products Master'!B:B)</f>
        <v>Accessories</v>
      </c>
      <c r="J970">
        <f>_xlfn.XLOOKUP(E970,'Products Master'!A:A,'Products Master'!C:C)</f>
        <v>1500</v>
      </c>
      <c r="K970" t="str">
        <f>_xlfn.XLOOKUP(E970,'Products Master'!A:A,'Products Master'!D:D)</f>
        <v>Logitech</v>
      </c>
      <c r="L970">
        <f t="shared" si="60"/>
        <v>12500</v>
      </c>
      <c r="M970">
        <f t="shared" si="61"/>
        <v>7500</v>
      </c>
      <c r="N970">
        <f t="shared" si="62"/>
        <v>5000</v>
      </c>
      <c r="O970" s="2">
        <f t="shared" si="63"/>
        <v>0.4</v>
      </c>
    </row>
    <row r="971" spans="1:15">
      <c r="A971" t="s">
        <v>1445</v>
      </c>
      <c r="B971" t="s">
        <v>379</v>
      </c>
      <c r="C971" t="s">
        <v>254</v>
      </c>
      <c r="D971" t="s">
        <v>34</v>
      </c>
      <c r="E971" t="s">
        <v>99</v>
      </c>
      <c r="F971">
        <v>5</v>
      </c>
      <c r="G971">
        <v>5000</v>
      </c>
      <c r="H971" t="s">
        <v>13</v>
      </c>
      <c r="I971" t="str">
        <f>_xlfn.XLOOKUP(E971,'Products Master'!A:A,'Products Master'!B:B)</f>
        <v>Accessories</v>
      </c>
      <c r="J971">
        <f>_xlfn.XLOOKUP(E971,'Products Master'!A:A,'Products Master'!C:C)</f>
        <v>3500</v>
      </c>
      <c r="K971" t="str">
        <f>_xlfn.XLOOKUP(E971,'Products Master'!A:A,'Products Master'!D:D)</f>
        <v>Logitech</v>
      </c>
      <c r="L971">
        <f t="shared" si="60"/>
        <v>25000</v>
      </c>
      <c r="M971">
        <f t="shared" si="61"/>
        <v>17500</v>
      </c>
      <c r="N971">
        <f t="shared" si="62"/>
        <v>7500</v>
      </c>
      <c r="O971" s="2">
        <f t="shared" si="63"/>
        <v>0.3</v>
      </c>
    </row>
    <row r="972" spans="1:15">
      <c r="A972" t="s">
        <v>1446</v>
      </c>
      <c r="B972" t="s">
        <v>332</v>
      </c>
      <c r="C972" t="s">
        <v>104</v>
      </c>
      <c r="D972" t="s">
        <v>23</v>
      </c>
      <c r="E972" t="s">
        <v>12</v>
      </c>
      <c r="F972">
        <v>3</v>
      </c>
      <c r="G972">
        <v>150000</v>
      </c>
      <c r="H972" t="s">
        <v>13</v>
      </c>
      <c r="I972" t="str">
        <f>_xlfn.XLOOKUP(E972,'Products Master'!A:A,'Products Master'!B:B)</f>
        <v>Electronics</v>
      </c>
      <c r="J972">
        <f>_xlfn.XLOOKUP(E972,'Products Master'!A:A,'Products Master'!C:C)</f>
        <v>120000</v>
      </c>
      <c r="K972" t="str">
        <f>_xlfn.XLOOKUP(E972,'Products Master'!A:A,'Products Master'!D:D)</f>
        <v>Dell</v>
      </c>
      <c r="L972">
        <f t="shared" si="60"/>
        <v>450000</v>
      </c>
      <c r="M972">
        <f t="shared" si="61"/>
        <v>360000</v>
      </c>
      <c r="N972">
        <f t="shared" si="62"/>
        <v>90000</v>
      </c>
      <c r="O972" s="2">
        <f t="shared" si="63"/>
        <v>0.2</v>
      </c>
    </row>
    <row r="973" spans="1:15">
      <c r="A973" t="s">
        <v>1447</v>
      </c>
      <c r="B973" t="s">
        <v>118</v>
      </c>
      <c r="C973" t="s">
        <v>226</v>
      </c>
      <c r="D973" t="s">
        <v>111</v>
      </c>
      <c r="E973" t="s">
        <v>124</v>
      </c>
      <c r="F973">
        <v>5</v>
      </c>
      <c r="G973">
        <v>18000</v>
      </c>
      <c r="H973" t="s">
        <v>41</v>
      </c>
      <c r="I973" t="str">
        <f>_xlfn.XLOOKUP(E973,'Products Master'!A:A,'Products Master'!B:B)</f>
        <v>Storage</v>
      </c>
      <c r="J973">
        <f>_xlfn.XLOOKUP(E973,'Products Master'!A:A,'Products Master'!C:C)</f>
        <v>12000</v>
      </c>
      <c r="K973" t="str">
        <f>_xlfn.XLOOKUP(E973,'Products Master'!A:A,'Products Master'!D:D)</f>
        <v>Kingston</v>
      </c>
      <c r="L973">
        <f t="shared" si="60"/>
        <v>90000</v>
      </c>
      <c r="M973">
        <f t="shared" si="61"/>
        <v>60000</v>
      </c>
      <c r="N973">
        <f t="shared" si="62"/>
        <v>30000</v>
      </c>
      <c r="O973" s="2">
        <f t="shared" si="63"/>
        <v>0.33333333333333331</v>
      </c>
    </row>
    <row r="974" spans="1:15">
      <c r="A974" t="s">
        <v>1448</v>
      </c>
      <c r="B974" t="s">
        <v>280</v>
      </c>
      <c r="C974" t="s">
        <v>57</v>
      </c>
      <c r="D974" t="s">
        <v>34</v>
      </c>
      <c r="E974" t="s">
        <v>49</v>
      </c>
      <c r="F974">
        <v>4</v>
      </c>
      <c r="G974">
        <v>9500</v>
      </c>
      <c r="H974" t="s">
        <v>19</v>
      </c>
      <c r="I974" t="str">
        <f>_xlfn.XLOOKUP(E974,'Products Master'!A:A,'Products Master'!B:B)</f>
        <v>Accessories</v>
      </c>
      <c r="J974">
        <f>_xlfn.XLOOKUP(E974,'Products Master'!A:A,'Products Master'!C:C)</f>
        <v>7000</v>
      </c>
      <c r="K974" t="str">
        <f>_xlfn.XLOOKUP(E974,'Products Master'!A:A,'Products Master'!D:D)</f>
        <v>Logitech</v>
      </c>
      <c r="L974">
        <f t="shared" si="60"/>
        <v>38000</v>
      </c>
      <c r="M974">
        <f t="shared" si="61"/>
        <v>28000</v>
      </c>
      <c r="N974">
        <f t="shared" si="62"/>
        <v>10000</v>
      </c>
      <c r="O974" s="2">
        <f t="shared" si="63"/>
        <v>0.26315789473684209</v>
      </c>
    </row>
    <row r="975" spans="1:15">
      <c r="A975" t="s">
        <v>1449</v>
      </c>
      <c r="B975" t="s">
        <v>565</v>
      </c>
      <c r="C975" t="s">
        <v>48</v>
      </c>
      <c r="D975" t="s">
        <v>115</v>
      </c>
      <c r="E975" t="s">
        <v>49</v>
      </c>
      <c r="F975">
        <v>3</v>
      </c>
      <c r="G975">
        <v>9500</v>
      </c>
      <c r="H975" t="s">
        <v>66</v>
      </c>
      <c r="I975" t="str">
        <f>_xlfn.XLOOKUP(E975,'Products Master'!A:A,'Products Master'!B:B)</f>
        <v>Accessories</v>
      </c>
      <c r="J975">
        <f>_xlfn.XLOOKUP(E975,'Products Master'!A:A,'Products Master'!C:C)</f>
        <v>7000</v>
      </c>
      <c r="K975" t="str">
        <f>_xlfn.XLOOKUP(E975,'Products Master'!A:A,'Products Master'!D:D)</f>
        <v>Logitech</v>
      </c>
      <c r="L975">
        <f t="shared" si="60"/>
        <v>28500</v>
      </c>
      <c r="M975">
        <f t="shared" si="61"/>
        <v>21000</v>
      </c>
      <c r="N975">
        <f t="shared" si="62"/>
        <v>7500</v>
      </c>
      <c r="O975" s="2">
        <f t="shared" si="63"/>
        <v>0.26315789473684209</v>
      </c>
    </row>
    <row r="976" spans="1:15">
      <c r="A976" t="s">
        <v>1450</v>
      </c>
      <c r="B976" t="s">
        <v>339</v>
      </c>
      <c r="C976" t="s">
        <v>28</v>
      </c>
      <c r="D976" t="s">
        <v>111</v>
      </c>
      <c r="E976" t="s">
        <v>18</v>
      </c>
      <c r="F976">
        <v>5</v>
      </c>
      <c r="G976">
        <v>45000</v>
      </c>
      <c r="H976" t="s">
        <v>25</v>
      </c>
      <c r="I976" t="str">
        <f>_xlfn.XLOOKUP(E976,'Products Master'!A:A,'Products Master'!B:B)</f>
        <v>Electronics</v>
      </c>
      <c r="J976">
        <f>_xlfn.XLOOKUP(E976,'Products Master'!A:A,'Products Master'!C:C)</f>
        <v>35000</v>
      </c>
      <c r="K976" t="str">
        <f>_xlfn.XLOOKUP(E976,'Products Master'!A:A,'Products Master'!D:D)</f>
        <v>HP</v>
      </c>
      <c r="L976">
        <f t="shared" si="60"/>
        <v>225000</v>
      </c>
      <c r="M976">
        <f t="shared" si="61"/>
        <v>175000</v>
      </c>
      <c r="N976">
        <f t="shared" si="62"/>
        <v>50000</v>
      </c>
      <c r="O976" s="2">
        <f t="shared" si="63"/>
        <v>0.22222222222222221</v>
      </c>
    </row>
    <row r="977" spans="1:15">
      <c r="A977" t="s">
        <v>1451</v>
      </c>
      <c r="B977" t="s">
        <v>251</v>
      </c>
      <c r="C977" t="s">
        <v>152</v>
      </c>
      <c r="D977" t="s">
        <v>11</v>
      </c>
      <c r="E977" t="s">
        <v>124</v>
      </c>
      <c r="F977">
        <v>3</v>
      </c>
      <c r="G977">
        <v>18000</v>
      </c>
      <c r="H977" t="s">
        <v>50</v>
      </c>
      <c r="I977" t="str">
        <f>_xlfn.XLOOKUP(E977,'Products Master'!A:A,'Products Master'!B:B)</f>
        <v>Storage</v>
      </c>
      <c r="J977">
        <f>_xlfn.XLOOKUP(E977,'Products Master'!A:A,'Products Master'!C:C)</f>
        <v>12000</v>
      </c>
      <c r="K977" t="str">
        <f>_xlfn.XLOOKUP(E977,'Products Master'!A:A,'Products Master'!D:D)</f>
        <v>Kingston</v>
      </c>
      <c r="L977">
        <f t="shared" si="60"/>
        <v>54000</v>
      </c>
      <c r="M977">
        <f t="shared" si="61"/>
        <v>36000</v>
      </c>
      <c r="N977">
        <f t="shared" si="62"/>
        <v>18000</v>
      </c>
      <c r="O977" s="2">
        <f t="shared" si="63"/>
        <v>0.33333333333333331</v>
      </c>
    </row>
    <row r="978" spans="1:15">
      <c r="A978" t="s">
        <v>1452</v>
      </c>
      <c r="B978" t="s">
        <v>290</v>
      </c>
      <c r="C978" t="s">
        <v>186</v>
      </c>
      <c r="D978" t="s">
        <v>23</v>
      </c>
      <c r="E978" t="s">
        <v>49</v>
      </c>
      <c r="F978">
        <v>1</v>
      </c>
      <c r="G978">
        <v>9500</v>
      </c>
      <c r="H978" t="s">
        <v>95</v>
      </c>
      <c r="I978" t="str">
        <f>_xlfn.XLOOKUP(E978,'Products Master'!A:A,'Products Master'!B:B)</f>
        <v>Accessories</v>
      </c>
      <c r="J978">
        <f>_xlfn.XLOOKUP(E978,'Products Master'!A:A,'Products Master'!C:C)</f>
        <v>7000</v>
      </c>
      <c r="K978" t="str">
        <f>_xlfn.XLOOKUP(E978,'Products Master'!A:A,'Products Master'!D:D)</f>
        <v>Logitech</v>
      </c>
      <c r="L978">
        <f t="shared" si="60"/>
        <v>9500</v>
      </c>
      <c r="M978">
        <f t="shared" si="61"/>
        <v>7000</v>
      </c>
      <c r="N978">
        <f t="shared" si="62"/>
        <v>2500</v>
      </c>
      <c r="O978" s="2">
        <f t="shared" si="63"/>
        <v>0.26315789473684209</v>
      </c>
    </row>
    <row r="979" spans="1:15">
      <c r="A979" t="s">
        <v>1453</v>
      </c>
      <c r="B979" t="s">
        <v>1256</v>
      </c>
      <c r="C979" t="s">
        <v>107</v>
      </c>
      <c r="D979" t="s">
        <v>111</v>
      </c>
      <c r="E979" t="s">
        <v>54</v>
      </c>
      <c r="F979">
        <v>3</v>
      </c>
      <c r="G979">
        <v>7000</v>
      </c>
      <c r="H979" t="s">
        <v>13</v>
      </c>
      <c r="I979" t="str">
        <f>_xlfn.XLOOKUP(E979,'Products Master'!A:A,'Products Master'!B:B)</f>
        <v>Accessories</v>
      </c>
      <c r="J979">
        <f>_xlfn.XLOOKUP(E979,'Products Master'!A:A,'Products Master'!C:C)</f>
        <v>5000</v>
      </c>
      <c r="K979" t="str">
        <f>_xlfn.XLOOKUP(E979,'Products Master'!A:A,'Products Master'!D:D)</f>
        <v>Sony</v>
      </c>
      <c r="L979">
        <f t="shared" si="60"/>
        <v>21000</v>
      </c>
      <c r="M979">
        <f t="shared" si="61"/>
        <v>15000</v>
      </c>
      <c r="N979">
        <f t="shared" si="62"/>
        <v>6000</v>
      </c>
      <c r="O979" s="2">
        <f t="shared" si="63"/>
        <v>0.2857142857142857</v>
      </c>
    </row>
    <row r="980" spans="1:15">
      <c r="A980" t="s">
        <v>1454</v>
      </c>
      <c r="B980" t="s">
        <v>1090</v>
      </c>
      <c r="C980" t="s">
        <v>481</v>
      </c>
      <c r="D980" t="s">
        <v>111</v>
      </c>
      <c r="E980" t="s">
        <v>12</v>
      </c>
      <c r="F980">
        <v>1</v>
      </c>
      <c r="G980">
        <v>150000</v>
      </c>
      <c r="H980" t="s">
        <v>41</v>
      </c>
      <c r="I980" t="str">
        <f>_xlfn.XLOOKUP(E980,'Products Master'!A:A,'Products Master'!B:B)</f>
        <v>Electronics</v>
      </c>
      <c r="J980">
        <f>_xlfn.XLOOKUP(E980,'Products Master'!A:A,'Products Master'!C:C)</f>
        <v>120000</v>
      </c>
      <c r="K980" t="str">
        <f>_xlfn.XLOOKUP(E980,'Products Master'!A:A,'Products Master'!D:D)</f>
        <v>Dell</v>
      </c>
      <c r="L980">
        <f t="shared" si="60"/>
        <v>150000</v>
      </c>
      <c r="M980">
        <f t="shared" si="61"/>
        <v>120000</v>
      </c>
      <c r="N980">
        <f t="shared" si="62"/>
        <v>30000</v>
      </c>
      <c r="O980" s="2">
        <f t="shared" si="63"/>
        <v>0.2</v>
      </c>
    </row>
    <row r="981" spans="1:15">
      <c r="A981" t="s">
        <v>1455</v>
      </c>
      <c r="B981" t="s">
        <v>1337</v>
      </c>
      <c r="C981" t="s">
        <v>285</v>
      </c>
      <c r="D981" t="s">
        <v>17</v>
      </c>
      <c r="E981" t="s">
        <v>18</v>
      </c>
      <c r="F981">
        <v>3</v>
      </c>
      <c r="G981">
        <v>45000</v>
      </c>
      <c r="H981" t="s">
        <v>116</v>
      </c>
      <c r="I981" t="str">
        <f>_xlfn.XLOOKUP(E981,'Products Master'!A:A,'Products Master'!B:B)</f>
        <v>Electronics</v>
      </c>
      <c r="J981">
        <f>_xlfn.XLOOKUP(E981,'Products Master'!A:A,'Products Master'!C:C)</f>
        <v>35000</v>
      </c>
      <c r="K981" t="str">
        <f>_xlfn.XLOOKUP(E981,'Products Master'!A:A,'Products Master'!D:D)</f>
        <v>HP</v>
      </c>
      <c r="L981">
        <f t="shared" si="60"/>
        <v>135000</v>
      </c>
      <c r="M981">
        <f t="shared" si="61"/>
        <v>105000</v>
      </c>
      <c r="N981">
        <f t="shared" si="62"/>
        <v>30000</v>
      </c>
      <c r="O981" s="2">
        <f t="shared" si="63"/>
        <v>0.22222222222222221</v>
      </c>
    </row>
    <row r="982" spans="1:15">
      <c r="A982" t="s">
        <v>1456</v>
      </c>
      <c r="B982" t="s">
        <v>1263</v>
      </c>
      <c r="C982" t="s">
        <v>466</v>
      </c>
      <c r="D982" t="s">
        <v>17</v>
      </c>
      <c r="E982" t="s">
        <v>18</v>
      </c>
      <c r="F982">
        <v>5</v>
      </c>
      <c r="G982">
        <v>45000</v>
      </c>
      <c r="H982" t="s">
        <v>19</v>
      </c>
      <c r="I982" t="str">
        <f>_xlfn.XLOOKUP(E982,'Products Master'!A:A,'Products Master'!B:B)</f>
        <v>Electronics</v>
      </c>
      <c r="J982">
        <f>_xlfn.XLOOKUP(E982,'Products Master'!A:A,'Products Master'!C:C)</f>
        <v>35000</v>
      </c>
      <c r="K982" t="str">
        <f>_xlfn.XLOOKUP(E982,'Products Master'!A:A,'Products Master'!D:D)</f>
        <v>HP</v>
      </c>
      <c r="L982">
        <f t="shared" si="60"/>
        <v>225000</v>
      </c>
      <c r="M982">
        <f t="shared" si="61"/>
        <v>175000</v>
      </c>
      <c r="N982">
        <f t="shared" si="62"/>
        <v>50000</v>
      </c>
      <c r="O982" s="2">
        <f t="shared" si="63"/>
        <v>0.22222222222222221</v>
      </c>
    </row>
    <row r="983" spans="1:15">
      <c r="A983" t="s">
        <v>1457</v>
      </c>
      <c r="B983" t="s">
        <v>873</v>
      </c>
      <c r="C983" t="s">
        <v>303</v>
      </c>
      <c r="D983" t="s">
        <v>17</v>
      </c>
      <c r="E983" t="s">
        <v>54</v>
      </c>
      <c r="F983">
        <v>5</v>
      </c>
      <c r="G983">
        <v>7000</v>
      </c>
      <c r="H983" t="s">
        <v>50</v>
      </c>
      <c r="I983" t="str">
        <f>_xlfn.XLOOKUP(E983,'Products Master'!A:A,'Products Master'!B:B)</f>
        <v>Accessories</v>
      </c>
      <c r="J983">
        <f>_xlfn.XLOOKUP(E983,'Products Master'!A:A,'Products Master'!C:C)</f>
        <v>5000</v>
      </c>
      <c r="K983" t="str">
        <f>_xlfn.XLOOKUP(E983,'Products Master'!A:A,'Products Master'!D:D)</f>
        <v>Sony</v>
      </c>
      <c r="L983">
        <f t="shared" si="60"/>
        <v>35000</v>
      </c>
      <c r="M983">
        <f t="shared" si="61"/>
        <v>25000</v>
      </c>
      <c r="N983">
        <f t="shared" si="62"/>
        <v>10000</v>
      </c>
      <c r="O983" s="2">
        <f t="shared" si="63"/>
        <v>0.2857142857142857</v>
      </c>
    </row>
    <row r="984" spans="1:15">
      <c r="A984" t="s">
        <v>1458</v>
      </c>
      <c r="B984" t="s">
        <v>994</v>
      </c>
      <c r="C984" t="s">
        <v>107</v>
      </c>
      <c r="D984" t="s">
        <v>23</v>
      </c>
      <c r="E984" t="s">
        <v>12</v>
      </c>
      <c r="F984">
        <v>1</v>
      </c>
      <c r="G984">
        <v>150000</v>
      </c>
      <c r="H984" t="s">
        <v>36</v>
      </c>
      <c r="I984" t="str">
        <f>_xlfn.XLOOKUP(E984,'Products Master'!A:A,'Products Master'!B:B)</f>
        <v>Electronics</v>
      </c>
      <c r="J984">
        <f>_xlfn.XLOOKUP(E984,'Products Master'!A:A,'Products Master'!C:C)</f>
        <v>120000</v>
      </c>
      <c r="K984" t="str">
        <f>_xlfn.XLOOKUP(E984,'Products Master'!A:A,'Products Master'!D:D)</f>
        <v>Dell</v>
      </c>
      <c r="L984">
        <f t="shared" si="60"/>
        <v>150000</v>
      </c>
      <c r="M984">
        <f t="shared" si="61"/>
        <v>120000</v>
      </c>
      <c r="N984">
        <f t="shared" si="62"/>
        <v>30000</v>
      </c>
      <c r="O984" s="2">
        <f t="shared" si="63"/>
        <v>0.2</v>
      </c>
    </row>
    <row r="985" spans="1:15">
      <c r="A985" t="s">
        <v>1459</v>
      </c>
      <c r="B985" t="s">
        <v>225</v>
      </c>
      <c r="C985" t="s">
        <v>353</v>
      </c>
      <c r="D985" t="s">
        <v>29</v>
      </c>
      <c r="E985" t="s">
        <v>24</v>
      </c>
      <c r="F985">
        <v>3</v>
      </c>
      <c r="G985">
        <v>2500</v>
      </c>
      <c r="H985" t="s">
        <v>95</v>
      </c>
      <c r="I985" t="str">
        <f>_xlfn.XLOOKUP(E985,'Products Master'!A:A,'Products Master'!B:B)</f>
        <v>Accessories</v>
      </c>
      <c r="J985">
        <f>_xlfn.XLOOKUP(E985,'Products Master'!A:A,'Products Master'!C:C)</f>
        <v>1500</v>
      </c>
      <c r="K985" t="str">
        <f>_xlfn.XLOOKUP(E985,'Products Master'!A:A,'Products Master'!D:D)</f>
        <v>Logitech</v>
      </c>
      <c r="L985">
        <f t="shared" si="60"/>
        <v>7500</v>
      </c>
      <c r="M985">
        <f t="shared" si="61"/>
        <v>4500</v>
      </c>
      <c r="N985">
        <f t="shared" si="62"/>
        <v>3000</v>
      </c>
      <c r="O985" s="2">
        <f t="shared" si="63"/>
        <v>0.4</v>
      </c>
    </row>
    <row r="986" spans="1:15">
      <c r="A986" t="s">
        <v>1460</v>
      </c>
      <c r="B986" t="s">
        <v>1393</v>
      </c>
      <c r="C986" t="s">
        <v>729</v>
      </c>
      <c r="D986" t="s">
        <v>23</v>
      </c>
      <c r="E986" t="s">
        <v>24</v>
      </c>
      <c r="F986">
        <v>4</v>
      </c>
      <c r="G986">
        <v>2500</v>
      </c>
      <c r="H986" t="s">
        <v>25</v>
      </c>
      <c r="I986" t="str">
        <f>_xlfn.XLOOKUP(E986,'Products Master'!A:A,'Products Master'!B:B)</f>
        <v>Accessories</v>
      </c>
      <c r="J986">
        <f>_xlfn.XLOOKUP(E986,'Products Master'!A:A,'Products Master'!C:C)</f>
        <v>1500</v>
      </c>
      <c r="K986" t="str">
        <f>_xlfn.XLOOKUP(E986,'Products Master'!A:A,'Products Master'!D:D)</f>
        <v>Logitech</v>
      </c>
      <c r="L986">
        <f t="shared" si="60"/>
        <v>10000</v>
      </c>
      <c r="M986">
        <f t="shared" si="61"/>
        <v>6000</v>
      </c>
      <c r="N986">
        <f t="shared" si="62"/>
        <v>4000</v>
      </c>
      <c r="O986" s="2">
        <f t="shared" si="63"/>
        <v>0.4</v>
      </c>
    </row>
    <row r="987" spans="1:15">
      <c r="A987" t="s">
        <v>1461</v>
      </c>
      <c r="B987" t="s">
        <v>1263</v>
      </c>
      <c r="C987" t="s">
        <v>77</v>
      </c>
      <c r="D987" t="s">
        <v>29</v>
      </c>
      <c r="E987" t="s">
        <v>54</v>
      </c>
      <c r="F987">
        <v>1</v>
      </c>
      <c r="G987">
        <v>7000</v>
      </c>
      <c r="H987" t="s">
        <v>25</v>
      </c>
      <c r="I987" t="str">
        <f>_xlfn.XLOOKUP(E987,'Products Master'!A:A,'Products Master'!B:B)</f>
        <v>Accessories</v>
      </c>
      <c r="J987">
        <f>_xlfn.XLOOKUP(E987,'Products Master'!A:A,'Products Master'!C:C)</f>
        <v>5000</v>
      </c>
      <c r="K987" t="str">
        <f>_xlfn.XLOOKUP(E987,'Products Master'!A:A,'Products Master'!D:D)</f>
        <v>Sony</v>
      </c>
      <c r="L987">
        <f t="shared" si="60"/>
        <v>7000</v>
      </c>
      <c r="M987">
        <f t="shared" si="61"/>
        <v>5000</v>
      </c>
      <c r="N987">
        <f t="shared" si="62"/>
        <v>2000</v>
      </c>
      <c r="O987" s="2">
        <f t="shared" si="63"/>
        <v>0.2857142857142857</v>
      </c>
    </row>
    <row r="988" spans="1:15">
      <c r="A988" t="s">
        <v>1462</v>
      </c>
      <c r="B988" t="s">
        <v>292</v>
      </c>
      <c r="C988" t="s">
        <v>77</v>
      </c>
      <c r="D988" t="s">
        <v>45</v>
      </c>
      <c r="E988" t="s">
        <v>99</v>
      </c>
      <c r="F988">
        <v>4</v>
      </c>
      <c r="G988">
        <v>5000</v>
      </c>
      <c r="H988" t="s">
        <v>95</v>
      </c>
      <c r="I988" t="str">
        <f>_xlfn.XLOOKUP(E988,'Products Master'!A:A,'Products Master'!B:B)</f>
        <v>Accessories</v>
      </c>
      <c r="J988">
        <f>_xlfn.XLOOKUP(E988,'Products Master'!A:A,'Products Master'!C:C)</f>
        <v>3500</v>
      </c>
      <c r="K988" t="str">
        <f>_xlfn.XLOOKUP(E988,'Products Master'!A:A,'Products Master'!D:D)</f>
        <v>Logitech</v>
      </c>
      <c r="L988">
        <f t="shared" si="60"/>
        <v>20000</v>
      </c>
      <c r="M988">
        <f t="shared" si="61"/>
        <v>14000</v>
      </c>
      <c r="N988">
        <f t="shared" si="62"/>
        <v>6000</v>
      </c>
      <c r="O988" s="2">
        <f t="shared" si="63"/>
        <v>0.3</v>
      </c>
    </row>
    <row r="989" spans="1:15">
      <c r="A989" t="s">
        <v>1463</v>
      </c>
      <c r="B989" t="s">
        <v>343</v>
      </c>
      <c r="C989" t="s">
        <v>831</v>
      </c>
      <c r="D989" t="s">
        <v>111</v>
      </c>
      <c r="E989" t="s">
        <v>49</v>
      </c>
      <c r="F989">
        <v>2</v>
      </c>
      <c r="G989">
        <v>9500</v>
      </c>
      <c r="H989" t="s">
        <v>25</v>
      </c>
      <c r="I989" t="str">
        <f>_xlfn.XLOOKUP(E989,'Products Master'!A:A,'Products Master'!B:B)</f>
        <v>Accessories</v>
      </c>
      <c r="J989">
        <f>_xlfn.XLOOKUP(E989,'Products Master'!A:A,'Products Master'!C:C)</f>
        <v>7000</v>
      </c>
      <c r="K989" t="str">
        <f>_xlfn.XLOOKUP(E989,'Products Master'!A:A,'Products Master'!D:D)</f>
        <v>Logitech</v>
      </c>
      <c r="L989">
        <f t="shared" si="60"/>
        <v>19000</v>
      </c>
      <c r="M989">
        <f t="shared" si="61"/>
        <v>14000</v>
      </c>
      <c r="N989">
        <f t="shared" si="62"/>
        <v>5000</v>
      </c>
      <c r="O989" s="2">
        <f t="shared" si="63"/>
        <v>0.26315789473684209</v>
      </c>
    </row>
    <row r="990" spans="1:15">
      <c r="A990" t="s">
        <v>1464</v>
      </c>
      <c r="B990" t="s">
        <v>1004</v>
      </c>
      <c r="C990" t="s">
        <v>502</v>
      </c>
      <c r="D990" t="s">
        <v>111</v>
      </c>
      <c r="E990" t="s">
        <v>18</v>
      </c>
      <c r="F990">
        <v>3</v>
      </c>
      <c r="G990">
        <v>45000</v>
      </c>
      <c r="H990" t="s">
        <v>41</v>
      </c>
      <c r="I990" t="str">
        <f>_xlfn.XLOOKUP(E990,'Products Master'!A:A,'Products Master'!B:B)</f>
        <v>Electronics</v>
      </c>
      <c r="J990">
        <f>_xlfn.XLOOKUP(E990,'Products Master'!A:A,'Products Master'!C:C)</f>
        <v>35000</v>
      </c>
      <c r="K990" t="str">
        <f>_xlfn.XLOOKUP(E990,'Products Master'!A:A,'Products Master'!D:D)</f>
        <v>HP</v>
      </c>
      <c r="L990">
        <f t="shared" si="60"/>
        <v>135000</v>
      </c>
      <c r="M990">
        <f t="shared" si="61"/>
        <v>105000</v>
      </c>
      <c r="N990">
        <f t="shared" si="62"/>
        <v>30000</v>
      </c>
      <c r="O990" s="2">
        <f t="shared" si="63"/>
        <v>0.22222222222222221</v>
      </c>
    </row>
    <row r="991" spans="1:15">
      <c r="A991" t="s">
        <v>1465</v>
      </c>
      <c r="B991" t="s">
        <v>123</v>
      </c>
      <c r="C991" t="s">
        <v>173</v>
      </c>
      <c r="D991" t="s">
        <v>23</v>
      </c>
      <c r="E991" t="s">
        <v>35</v>
      </c>
      <c r="F991">
        <v>3</v>
      </c>
      <c r="G991">
        <v>2000</v>
      </c>
      <c r="H991" t="s">
        <v>25</v>
      </c>
      <c r="I991" t="str">
        <f>_xlfn.XLOOKUP(E991,'Products Master'!A:A,'Products Master'!B:B)</f>
        <v>Storage</v>
      </c>
      <c r="J991">
        <f>_xlfn.XLOOKUP(E991,'Products Master'!A:A,'Products Master'!C:C)</f>
        <v>1200</v>
      </c>
      <c r="K991" t="str">
        <f>_xlfn.XLOOKUP(E991,'Products Master'!A:A,'Products Master'!D:D)</f>
        <v>SanDisk</v>
      </c>
      <c r="L991">
        <f t="shared" si="60"/>
        <v>6000</v>
      </c>
      <c r="M991">
        <f t="shared" si="61"/>
        <v>3600</v>
      </c>
      <c r="N991">
        <f t="shared" si="62"/>
        <v>2400</v>
      </c>
      <c r="O991" s="2">
        <f t="shared" si="63"/>
        <v>0.4</v>
      </c>
    </row>
    <row r="992" spans="1:15">
      <c r="A992" t="s">
        <v>1466</v>
      </c>
      <c r="B992" t="s">
        <v>93</v>
      </c>
      <c r="C992" t="s">
        <v>80</v>
      </c>
      <c r="D992" t="s">
        <v>115</v>
      </c>
      <c r="E992" t="s">
        <v>12</v>
      </c>
      <c r="F992">
        <v>1</v>
      </c>
      <c r="G992">
        <v>150000</v>
      </c>
      <c r="H992" t="s">
        <v>95</v>
      </c>
      <c r="I992" t="str">
        <f>_xlfn.XLOOKUP(E992,'Products Master'!A:A,'Products Master'!B:B)</f>
        <v>Electronics</v>
      </c>
      <c r="J992">
        <f>_xlfn.XLOOKUP(E992,'Products Master'!A:A,'Products Master'!C:C)</f>
        <v>120000</v>
      </c>
      <c r="K992" t="str">
        <f>_xlfn.XLOOKUP(E992,'Products Master'!A:A,'Products Master'!D:D)</f>
        <v>Dell</v>
      </c>
      <c r="L992">
        <f t="shared" si="60"/>
        <v>150000</v>
      </c>
      <c r="M992">
        <f t="shared" si="61"/>
        <v>120000</v>
      </c>
      <c r="N992">
        <f t="shared" si="62"/>
        <v>30000</v>
      </c>
      <c r="O992" s="2">
        <f t="shared" si="63"/>
        <v>0.2</v>
      </c>
    </row>
    <row r="993" spans="1:15">
      <c r="A993" t="s">
        <v>1467</v>
      </c>
      <c r="B993" t="s">
        <v>214</v>
      </c>
      <c r="C993" t="s">
        <v>107</v>
      </c>
      <c r="D993" t="s">
        <v>45</v>
      </c>
      <c r="E993" t="s">
        <v>179</v>
      </c>
      <c r="F993">
        <v>5</v>
      </c>
      <c r="G993">
        <v>80000</v>
      </c>
      <c r="H993" t="s">
        <v>19</v>
      </c>
      <c r="I993" t="str">
        <f>_xlfn.XLOOKUP(E993,'Products Master'!A:A,'Products Master'!B:B)</f>
        <v>Electronics</v>
      </c>
      <c r="J993">
        <f>_xlfn.XLOOKUP(E993,'Products Master'!A:A,'Products Master'!C:C)</f>
        <v>65000</v>
      </c>
      <c r="K993" t="str">
        <f>_xlfn.XLOOKUP(E993,'Products Master'!A:A,'Products Master'!D:D)</f>
        <v>Samsung</v>
      </c>
      <c r="L993">
        <f t="shared" si="60"/>
        <v>400000</v>
      </c>
      <c r="M993">
        <f t="shared" si="61"/>
        <v>325000</v>
      </c>
      <c r="N993">
        <f t="shared" si="62"/>
        <v>75000</v>
      </c>
      <c r="O993" s="2">
        <f t="shared" si="63"/>
        <v>0.1875</v>
      </c>
    </row>
    <row r="994" spans="1:15">
      <c r="A994" t="s">
        <v>1468</v>
      </c>
      <c r="B994" t="s">
        <v>922</v>
      </c>
      <c r="C994" t="s">
        <v>536</v>
      </c>
      <c r="D994" t="s">
        <v>115</v>
      </c>
      <c r="E994" t="s">
        <v>18</v>
      </c>
      <c r="F994">
        <v>3</v>
      </c>
      <c r="G994">
        <v>45000</v>
      </c>
      <c r="H994" t="s">
        <v>66</v>
      </c>
      <c r="I994" t="str">
        <f>_xlfn.XLOOKUP(E994,'Products Master'!A:A,'Products Master'!B:B)</f>
        <v>Electronics</v>
      </c>
      <c r="J994">
        <f>_xlfn.XLOOKUP(E994,'Products Master'!A:A,'Products Master'!C:C)</f>
        <v>35000</v>
      </c>
      <c r="K994" t="str">
        <f>_xlfn.XLOOKUP(E994,'Products Master'!A:A,'Products Master'!D:D)</f>
        <v>HP</v>
      </c>
      <c r="L994">
        <f t="shared" si="60"/>
        <v>135000</v>
      </c>
      <c r="M994">
        <f t="shared" si="61"/>
        <v>105000</v>
      </c>
      <c r="N994">
        <f t="shared" si="62"/>
        <v>30000</v>
      </c>
      <c r="O994" s="2">
        <f t="shared" si="63"/>
        <v>0.22222222222222221</v>
      </c>
    </row>
    <row r="995" spans="1:15">
      <c r="A995" t="s">
        <v>1469</v>
      </c>
      <c r="B995" t="s">
        <v>860</v>
      </c>
      <c r="C995" t="s">
        <v>48</v>
      </c>
      <c r="D995" t="s">
        <v>111</v>
      </c>
      <c r="E995" t="s">
        <v>18</v>
      </c>
      <c r="F995">
        <v>5</v>
      </c>
      <c r="G995">
        <v>45000</v>
      </c>
      <c r="H995" t="s">
        <v>66</v>
      </c>
      <c r="I995" t="str">
        <f>_xlfn.XLOOKUP(E995,'Products Master'!A:A,'Products Master'!B:B)</f>
        <v>Electronics</v>
      </c>
      <c r="J995">
        <f>_xlfn.XLOOKUP(E995,'Products Master'!A:A,'Products Master'!C:C)</f>
        <v>35000</v>
      </c>
      <c r="K995" t="str">
        <f>_xlfn.XLOOKUP(E995,'Products Master'!A:A,'Products Master'!D:D)</f>
        <v>HP</v>
      </c>
      <c r="L995">
        <f t="shared" si="60"/>
        <v>225000</v>
      </c>
      <c r="M995">
        <f t="shared" si="61"/>
        <v>175000</v>
      </c>
      <c r="N995">
        <f t="shared" si="62"/>
        <v>50000</v>
      </c>
      <c r="O995" s="2">
        <f t="shared" si="63"/>
        <v>0.22222222222222221</v>
      </c>
    </row>
    <row r="996" spans="1:15">
      <c r="A996" t="s">
        <v>1470</v>
      </c>
      <c r="B996" t="s">
        <v>1471</v>
      </c>
      <c r="C996" t="s">
        <v>614</v>
      </c>
      <c r="D996" t="s">
        <v>23</v>
      </c>
      <c r="E996" t="s">
        <v>24</v>
      </c>
      <c r="F996">
        <v>1</v>
      </c>
      <c r="G996">
        <v>2500</v>
      </c>
      <c r="H996" t="s">
        <v>36</v>
      </c>
      <c r="I996" t="str">
        <f>_xlfn.XLOOKUP(E996,'Products Master'!A:A,'Products Master'!B:B)</f>
        <v>Accessories</v>
      </c>
      <c r="J996">
        <f>_xlfn.XLOOKUP(E996,'Products Master'!A:A,'Products Master'!C:C)</f>
        <v>1500</v>
      </c>
      <c r="K996" t="str">
        <f>_xlfn.XLOOKUP(E996,'Products Master'!A:A,'Products Master'!D:D)</f>
        <v>Logitech</v>
      </c>
      <c r="L996">
        <f t="shared" si="60"/>
        <v>2500</v>
      </c>
      <c r="M996">
        <f t="shared" si="61"/>
        <v>1500</v>
      </c>
      <c r="N996">
        <f t="shared" si="62"/>
        <v>1000</v>
      </c>
      <c r="O996" s="2">
        <f t="shared" si="63"/>
        <v>0.4</v>
      </c>
    </row>
    <row r="997" spans="1:15">
      <c r="A997" t="s">
        <v>1472</v>
      </c>
      <c r="B997" t="s">
        <v>1473</v>
      </c>
      <c r="C997" t="s">
        <v>330</v>
      </c>
      <c r="D997" t="s">
        <v>23</v>
      </c>
      <c r="E997" t="s">
        <v>124</v>
      </c>
      <c r="F997">
        <v>1</v>
      </c>
      <c r="G997">
        <v>18000</v>
      </c>
      <c r="H997" t="s">
        <v>36</v>
      </c>
      <c r="I997" t="str">
        <f>_xlfn.XLOOKUP(E997,'Products Master'!A:A,'Products Master'!B:B)</f>
        <v>Storage</v>
      </c>
      <c r="J997">
        <f>_xlfn.XLOOKUP(E997,'Products Master'!A:A,'Products Master'!C:C)</f>
        <v>12000</v>
      </c>
      <c r="K997" t="str">
        <f>_xlfn.XLOOKUP(E997,'Products Master'!A:A,'Products Master'!D:D)</f>
        <v>Kingston</v>
      </c>
      <c r="L997">
        <f t="shared" si="60"/>
        <v>18000</v>
      </c>
      <c r="M997">
        <f t="shared" si="61"/>
        <v>12000</v>
      </c>
      <c r="N997">
        <f t="shared" si="62"/>
        <v>6000</v>
      </c>
      <c r="O997" s="2">
        <f t="shared" si="63"/>
        <v>0.33333333333333331</v>
      </c>
    </row>
    <row r="998" spans="1:15">
      <c r="A998" t="s">
        <v>1474</v>
      </c>
      <c r="B998" t="s">
        <v>164</v>
      </c>
      <c r="C998" t="s">
        <v>370</v>
      </c>
      <c r="D998" t="s">
        <v>111</v>
      </c>
      <c r="E998" t="s">
        <v>18</v>
      </c>
      <c r="F998">
        <v>5</v>
      </c>
      <c r="G998">
        <v>45000</v>
      </c>
      <c r="H998" t="s">
        <v>66</v>
      </c>
      <c r="I998" t="str">
        <f>_xlfn.XLOOKUP(E998,'Products Master'!A:A,'Products Master'!B:B)</f>
        <v>Electronics</v>
      </c>
      <c r="J998">
        <f>_xlfn.XLOOKUP(E998,'Products Master'!A:A,'Products Master'!C:C)</f>
        <v>35000</v>
      </c>
      <c r="K998" t="str">
        <f>_xlfn.XLOOKUP(E998,'Products Master'!A:A,'Products Master'!D:D)</f>
        <v>HP</v>
      </c>
      <c r="L998">
        <f t="shared" si="60"/>
        <v>225000</v>
      </c>
      <c r="M998">
        <f t="shared" si="61"/>
        <v>175000</v>
      </c>
      <c r="N998">
        <f t="shared" si="62"/>
        <v>50000</v>
      </c>
      <c r="O998" s="2">
        <f t="shared" si="63"/>
        <v>0.22222222222222221</v>
      </c>
    </row>
    <row r="999" spans="1:15">
      <c r="A999" t="s">
        <v>1475</v>
      </c>
      <c r="B999" t="s">
        <v>216</v>
      </c>
      <c r="C999" t="s">
        <v>233</v>
      </c>
      <c r="D999" t="s">
        <v>17</v>
      </c>
      <c r="E999" t="s">
        <v>18</v>
      </c>
      <c r="F999">
        <v>5</v>
      </c>
      <c r="G999">
        <v>45000</v>
      </c>
      <c r="H999" t="s">
        <v>95</v>
      </c>
      <c r="I999" t="str">
        <f>_xlfn.XLOOKUP(E999,'Products Master'!A:A,'Products Master'!B:B)</f>
        <v>Electronics</v>
      </c>
      <c r="J999">
        <f>_xlfn.XLOOKUP(E999,'Products Master'!A:A,'Products Master'!C:C)</f>
        <v>35000</v>
      </c>
      <c r="K999" t="str">
        <f>_xlfn.XLOOKUP(E999,'Products Master'!A:A,'Products Master'!D:D)</f>
        <v>HP</v>
      </c>
      <c r="L999">
        <f t="shared" si="60"/>
        <v>225000</v>
      </c>
      <c r="M999">
        <f t="shared" si="61"/>
        <v>175000</v>
      </c>
      <c r="N999">
        <f t="shared" si="62"/>
        <v>50000</v>
      </c>
      <c r="O999" s="2">
        <f t="shared" si="63"/>
        <v>0.22222222222222221</v>
      </c>
    </row>
    <row r="1000" spans="1:15">
      <c r="A1000" t="s">
        <v>1476</v>
      </c>
      <c r="B1000" t="s">
        <v>879</v>
      </c>
      <c r="C1000" t="s">
        <v>230</v>
      </c>
      <c r="D1000" t="s">
        <v>11</v>
      </c>
      <c r="E1000" t="s">
        <v>179</v>
      </c>
      <c r="F1000">
        <v>2</v>
      </c>
      <c r="G1000">
        <v>80000</v>
      </c>
      <c r="H1000" t="s">
        <v>116</v>
      </c>
      <c r="I1000" t="str">
        <f>_xlfn.XLOOKUP(E1000,'Products Master'!A:A,'Products Master'!B:B)</f>
        <v>Electronics</v>
      </c>
      <c r="J1000">
        <f>_xlfn.XLOOKUP(E1000,'Products Master'!A:A,'Products Master'!C:C)</f>
        <v>65000</v>
      </c>
      <c r="K1000" t="str">
        <f>_xlfn.XLOOKUP(E1000,'Products Master'!A:A,'Products Master'!D:D)</f>
        <v>Samsung</v>
      </c>
      <c r="L1000">
        <f t="shared" si="60"/>
        <v>160000</v>
      </c>
      <c r="M1000">
        <f t="shared" si="61"/>
        <v>130000</v>
      </c>
      <c r="N1000">
        <f t="shared" si="62"/>
        <v>30000</v>
      </c>
      <c r="O1000" s="2">
        <f t="shared" si="63"/>
        <v>0.1875</v>
      </c>
    </row>
    <row r="1001" spans="1:15">
      <c r="A1001" t="s">
        <v>1477</v>
      </c>
      <c r="B1001" t="s">
        <v>369</v>
      </c>
      <c r="C1001" t="s">
        <v>176</v>
      </c>
      <c r="D1001" t="s">
        <v>11</v>
      </c>
      <c r="E1001" t="s">
        <v>12</v>
      </c>
      <c r="F1001">
        <v>2</v>
      </c>
      <c r="G1001">
        <v>150000</v>
      </c>
      <c r="H1001" t="s">
        <v>41</v>
      </c>
      <c r="I1001" t="str">
        <f>_xlfn.XLOOKUP(E1001,'Products Master'!A:A,'Products Master'!B:B)</f>
        <v>Electronics</v>
      </c>
      <c r="J1001">
        <f>_xlfn.XLOOKUP(E1001,'Products Master'!A:A,'Products Master'!C:C)</f>
        <v>120000</v>
      </c>
      <c r="K1001" t="str">
        <f>_xlfn.XLOOKUP(E1001,'Products Master'!A:A,'Products Master'!D:D)</f>
        <v>Dell</v>
      </c>
      <c r="L1001">
        <f t="shared" si="60"/>
        <v>300000</v>
      </c>
      <c r="M1001">
        <f t="shared" si="61"/>
        <v>240000</v>
      </c>
      <c r="N1001">
        <f t="shared" si="62"/>
        <v>60000</v>
      </c>
      <c r="O1001" s="2">
        <f t="shared" si="63"/>
        <v>0.2</v>
      </c>
    </row>
  </sheetData>
  <pageMargins left="0.75" right="0.75" top="1" bottom="1" header="0.5" footer="0.5"/>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defaultRowHeight="14.4"/>
  <sheetData>
    <row r="1" spans="1:4">
      <c r="A1" t="s">
        <v>4</v>
      </c>
      <c r="B1" t="s">
        <v>1478</v>
      </c>
      <c r="C1" t="s">
        <v>1479</v>
      </c>
      <c r="D1" t="s">
        <v>1480</v>
      </c>
    </row>
    <row r="2" spans="1:4">
      <c r="A2" t="s">
        <v>12</v>
      </c>
      <c r="B2" t="s">
        <v>1481</v>
      </c>
      <c r="C2">
        <v>120000</v>
      </c>
      <c r="D2" t="s">
        <v>1482</v>
      </c>
    </row>
    <row r="3" spans="1:4">
      <c r="A3" t="s">
        <v>40</v>
      </c>
      <c r="B3" t="s">
        <v>1481</v>
      </c>
      <c r="C3">
        <v>50000</v>
      </c>
      <c r="D3" t="s">
        <v>1483</v>
      </c>
    </row>
    <row r="4" spans="1:4">
      <c r="A4" t="s">
        <v>24</v>
      </c>
      <c r="B4" t="s">
        <v>1484</v>
      </c>
      <c r="C4">
        <v>1500</v>
      </c>
      <c r="D4" t="s">
        <v>1485</v>
      </c>
    </row>
    <row r="5" spans="1:4">
      <c r="A5" t="s">
        <v>99</v>
      </c>
      <c r="B5" t="s">
        <v>1484</v>
      </c>
      <c r="C5">
        <v>3500</v>
      </c>
      <c r="D5" t="s">
        <v>1485</v>
      </c>
    </row>
    <row r="6" spans="1:4">
      <c r="A6" t="s">
        <v>54</v>
      </c>
      <c r="B6" t="s">
        <v>1484</v>
      </c>
      <c r="C6">
        <v>5000</v>
      </c>
      <c r="D6" t="s">
        <v>1486</v>
      </c>
    </row>
    <row r="7" spans="1:4">
      <c r="A7" t="s">
        <v>179</v>
      </c>
      <c r="B7" t="s">
        <v>1481</v>
      </c>
      <c r="C7">
        <v>65000</v>
      </c>
      <c r="D7" t="s">
        <v>1487</v>
      </c>
    </row>
    <row r="8" spans="1:4">
      <c r="A8" t="s">
        <v>18</v>
      </c>
      <c r="B8" t="s">
        <v>1481</v>
      </c>
      <c r="C8">
        <v>35000</v>
      </c>
      <c r="D8" t="s">
        <v>1488</v>
      </c>
    </row>
    <row r="9" spans="1:4">
      <c r="A9" t="s">
        <v>124</v>
      </c>
      <c r="B9" t="s">
        <v>1489</v>
      </c>
      <c r="C9">
        <v>12000</v>
      </c>
      <c r="D9" t="s">
        <v>1490</v>
      </c>
    </row>
    <row r="10" spans="1:4">
      <c r="A10" t="s">
        <v>35</v>
      </c>
      <c r="B10" t="s">
        <v>1489</v>
      </c>
      <c r="C10">
        <v>1200</v>
      </c>
      <c r="D10" t="s">
        <v>1491</v>
      </c>
    </row>
    <row r="11" spans="1:4">
      <c r="A11" t="s">
        <v>49</v>
      </c>
      <c r="B11" t="s">
        <v>1484</v>
      </c>
      <c r="C11">
        <v>7000</v>
      </c>
      <c r="D11" t="s">
        <v>1485</v>
      </c>
    </row>
  </sheetData>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heetViews>
  <sheetFormatPr defaultRowHeight="14.4"/>
  <sheetData>
    <row r="1" spans="1:3">
      <c r="A1" t="s">
        <v>7</v>
      </c>
      <c r="B1" t="s">
        <v>3</v>
      </c>
      <c r="C1" t="s">
        <v>1492</v>
      </c>
    </row>
    <row r="2" spans="1:3">
      <c r="A2" t="s">
        <v>25</v>
      </c>
      <c r="B2" t="s">
        <v>11</v>
      </c>
      <c r="C2">
        <v>670217</v>
      </c>
    </row>
    <row r="3" spans="1:3">
      <c r="A3" t="s">
        <v>13</v>
      </c>
      <c r="B3" t="s">
        <v>17</v>
      </c>
      <c r="C3">
        <v>342286</v>
      </c>
    </row>
    <row r="4" spans="1:3">
      <c r="A4" t="s">
        <v>36</v>
      </c>
      <c r="B4" t="s">
        <v>29</v>
      </c>
      <c r="C4">
        <v>679462</v>
      </c>
    </row>
    <row r="5" spans="1:3">
      <c r="A5" t="s">
        <v>66</v>
      </c>
      <c r="B5" t="s">
        <v>115</v>
      </c>
      <c r="C5">
        <v>453761</v>
      </c>
    </row>
    <row r="6" spans="1:3">
      <c r="A6" t="s">
        <v>116</v>
      </c>
      <c r="B6" t="s">
        <v>34</v>
      </c>
      <c r="C6">
        <v>536866</v>
      </c>
    </row>
    <row r="7" spans="1:3">
      <c r="A7" t="s">
        <v>41</v>
      </c>
      <c r="B7" t="s">
        <v>17</v>
      </c>
      <c r="C7">
        <v>486659</v>
      </c>
    </row>
    <row r="8" spans="1:3">
      <c r="A8" t="s">
        <v>19</v>
      </c>
      <c r="B8" t="s">
        <v>23</v>
      </c>
      <c r="C8">
        <v>719021</v>
      </c>
    </row>
    <row r="9" spans="1:3">
      <c r="A9" t="s">
        <v>30</v>
      </c>
      <c r="B9" t="s">
        <v>111</v>
      </c>
      <c r="C9">
        <v>783618</v>
      </c>
    </row>
    <row r="10" spans="1:3">
      <c r="A10" t="s">
        <v>50</v>
      </c>
      <c r="B10" t="s">
        <v>111</v>
      </c>
      <c r="C10">
        <v>377369</v>
      </c>
    </row>
    <row r="11" spans="1:3">
      <c r="A11" t="s">
        <v>95</v>
      </c>
      <c r="B11" t="s">
        <v>11</v>
      </c>
      <c r="C11">
        <v>865126</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Pivot Table</vt:lpstr>
      <vt:lpstr>Orders Data</vt:lpstr>
      <vt:lpstr>Products Master</vt:lpstr>
      <vt:lpstr>Sales Rep 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Kesara Lakpriya</cp:lastModifiedBy>
  <cp:lastPrinted>2026-06-29T19:02:14Z</cp:lastPrinted>
  <dcterms:created xsi:type="dcterms:W3CDTF">2026-06-29T06:52:54Z</dcterms:created>
  <dcterms:modified xsi:type="dcterms:W3CDTF">2026-06-29T19:03:12Z</dcterms:modified>
</cp:coreProperties>
</file>